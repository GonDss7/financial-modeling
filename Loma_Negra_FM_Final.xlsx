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nza\Downloads\"/>
    </mc:Choice>
  </mc:AlternateContent>
  <xr:revisionPtr revIDLastSave="0" documentId="13_ncr:1_{B22ECFDF-CFA8-49FF-835A-DBFC940118B2}" xr6:coauthVersionLast="47" xr6:coauthVersionMax="47" xr10:uidLastSave="{00000000-0000-0000-0000-000000000000}"/>
  <bookViews>
    <workbookView xWindow="-120" yWindow="-120" windowWidth="29040" windowHeight="15720" tabRatio="500" activeTab="10" xr2:uid="{00000000-000D-0000-FFFF-FFFF00000000}"/>
  </bookViews>
  <sheets>
    <sheet name="COVER" sheetId="1" r:id="rId1"/>
    <sheet name="INPUTS" sheetId="2" r:id="rId2"/>
    <sheet name="REVENUE" sheetId="3" r:id="rId3"/>
    <sheet name="COGS_OPEX" sheetId="4" r:id="rId4"/>
    <sheet name="NWC" sheetId="5" r:id="rId5"/>
    <sheet name="CAPEX_DA" sheetId="6" r:id="rId6"/>
    <sheet name="DEBT" sheetId="7" r:id="rId7"/>
    <sheet name="PL" sheetId="8" r:id="rId8"/>
    <sheet name="BS" sheetId="9" r:id="rId9"/>
    <sheet name="CF" sheetId="10" r:id="rId10"/>
    <sheet name="KPIs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0" i="11" l="1"/>
  <c r="F13" i="5"/>
  <c r="E13" i="5"/>
  <c r="F14" i="5"/>
  <c r="G14" i="5"/>
  <c r="H14" i="5"/>
  <c r="I14" i="5"/>
  <c r="E14" i="5"/>
  <c r="B20" i="4"/>
  <c r="J46" i="11" l="1"/>
  <c r="I46" i="11"/>
  <c r="H46" i="11"/>
  <c r="G46" i="11"/>
  <c r="F46" i="11"/>
  <c r="E46" i="11"/>
  <c r="D46" i="11"/>
  <c r="C46" i="11"/>
  <c r="D41" i="11"/>
  <c r="C41" i="11"/>
  <c r="B41" i="11"/>
  <c r="D37" i="11"/>
  <c r="C37" i="11"/>
  <c r="B37" i="11"/>
  <c r="D35" i="11"/>
  <c r="D31" i="11"/>
  <c r="B28" i="11"/>
  <c r="D26" i="11"/>
  <c r="C26" i="11"/>
  <c r="B26" i="11"/>
  <c r="B17" i="11"/>
  <c r="B16" i="11"/>
  <c r="E27" i="10"/>
  <c r="D26" i="10"/>
  <c r="C26" i="10"/>
  <c r="B26" i="10"/>
  <c r="J20" i="10"/>
  <c r="D13" i="10"/>
  <c r="C13" i="10"/>
  <c r="C31" i="11" s="1"/>
  <c r="B13" i="10"/>
  <c r="B31" i="11" s="1"/>
  <c r="D6" i="10"/>
  <c r="C6" i="10"/>
  <c r="B6" i="10"/>
  <c r="D5" i="10"/>
  <c r="C5" i="10"/>
  <c r="B5" i="10"/>
  <c r="B30" i="9"/>
  <c r="D29" i="9"/>
  <c r="D28" i="11" s="1"/>
  <c r="C29" i="9"/>
  <c r="C9" i="11" s="1"/>
  <c r="B29" i="9"/>
  <c r="B9" i="11" s="1"/>
  <c r="F26" i="9"/>
  <c r="G26" i="9" s="1"/>
  <c r="E26" i="9"/>
  <c r="D23" i="9"/>
  <c r="D30" i="9" s="1"/>
  <c r="C23" i="9"/>
  <c r="C30" i="9" s="1"/>
  <c r="B23" i="9"/>
  <c r="E22" i="9"/>
  <c r="F22" i="9" s="1"/>
  <c r="G22" i="9" s="1"/>
  <c r="H22" i="9" s="1"/>
  <c r="I22" i="9" s="1"/>
  <c r="J22" i="9" s="1"/>
  <c r="D20" i="9"/>
  <c r="D16" i="11" s="1"/>
  <c r="C20" i="9"/>
  <c r="C16" i="11" s="1"/>
  <c r="B20" i="9"/>
  <c r="J18" i="9"/>
  <c r="I18" i="9"/>
  <c r="H18" i="9"/>
  <c r="G18" i="9"/>
  <c r="F18" i="9"/>
  <c r="E18" i="9"/>
  <c r="D17" i="9"/>
  <c r="C17" i="9"/>
  <c r="B17" i="9"/>
  <c r="F13" i="9"/>
  <c r="G13" i="9" s="1"/>
  <c r="H13" i="9" s="1"/>
  <c r="I13" i="9" s="1"/>
  <c r="J13" i="9" s="1"/>
  <c r="E13" i="9"/>
  <c r="E12" i="9"/>
  <c r="F12" i="9" s="1"/>
  <c r="G12" i="9" s="1"/>
  <c r="H12" i="9" s="1"/>
  <c r="I12" i="9" s="1"/>
  <c r="J12" i="9" s="1"/>
  <c r="G11" i="9"/>
  <c r="H11" i="9" s="1"/>
  <c r="I11" i="9" s="1"/>
  <c r="J11" i="9" s="1"/>
  <c r="F11" i="9"/>
  <c r="E11" i="9"/>
  <c r="D10" i="9"/>
  <c r="C10" i="9"/>
  <c r="B10" i="9"/>
  <c r="F8" i="9"/>
  <c r="G8" i="9" s="1"/>
  <c r="H8" i="9" s="1"/>
  <c r="I8" i="9" s="1"/>
  <c r="J8" i="9" s="1"/>
  <c r="E8" i="9"/>
  <c r="D7" i="9"/>
  <c r="C7" i="9"/>
  <c r="B7" i="9"/>
  <c r="D6" i="9"/>
  <c r="C6" i="9"/>
  <c r="C20" i="11" s="1"/>
  <c r="B6" i="9"/>
  <c r="B20" i="11" s="1"/>
  <c r="D23" i="8"/>
  <c r="D42" i="11" s="1"/>
  <c r="C23" i="8"/>
  <c r="C42" i="11" s="1"/>
  <c r="B23" i="8"/>
  <c r="B42" i="11" s="1"/>
  <c r="D20" i="8"/>
  <c r="C20" i="8"/>
  <c r="B20" i="8"/>
  <c r="C19" i="8"/>
  <c r="J15" i="8"/>
  <c r="I15" i="8"/>
  <c r="H15" i="8"/>
  <c r="G15" i="8"/>
  <c r="F15" i="8"/>
  <c r="E15" i="8"/>
  <c r="D14" i="8"/>
  <c r="C14" i="8"/>
  <c r="B14" i="8"/>
  <c r="J10" i="8"/>
  <c r="D4" i="8"/>
  <c r="D38" i="11" s="1"/>
  <c r="C4" i="8"/>
  <c r="C38" i="11" s="1"/>
  <c r="B4" i="8"/>
  <c r="B38" i="11" s="1"/>
  <c r="D9" i="7"/>
  <c r="C9" i="7"/>
  <c r="J6" i="7"/>
  <c r="J18" i="10" s="1"/>
  <c r="I6" i="7"/>
  <c r="I18" i="10" s="1"/>
  <c r="I23" i="10" s="1"/>
  <c r="H6" i="7"/>
  <c r="H18" i="10" s="1"/>
  <c r="H23" i="10" s="1"/>
  <c r="G6" i="7"/>
  <c r="G18" i="10" s="1"/>
  <c r="G23" i="10" s="1"/>
  <c r="F6" i="7"/>
  <c r="F18" i="10" s="1"/>
  <c r="F23" i="10" s="1"/>
  <c r="E6" i="7"/>
  <c r="E18" i="10" s="1"/>
  <c r="E23" i="10" s="1"/>
  <c r="J5" i="7"/>
  <c r="J19" i="10" s="1"/>
  <c r="E4" i="7"/>
  <c r="D16" i="5"/>
  <c r="C16" i="5"/>
  <c r="D17" i="5" s="1"/>
  <c r="B16" i="5"/>
  <c r="J10" i="5"/>
  <c r="I10" i="5"/>
  <c r="H10" i="5"/>
  <c r="G10" i="5"/>
  <c r="F10" i="5"/>
  <c r="E10" i="5"/>
  <c r="J9" i="5"/>
  <c r="I9" i="5"/>
  <c r="H9" i="5"/>
  <c r="G9" i="5"/>
  <c r="F9" i="5"/>
  <c r="E9" i="5"/>
  <c r="J8" i="5"/>
  <c r="J13" i="5" s="1"/>
  <c r="I8" i="5"/>
  <c r="H8" i="5"/>
  <c r="G8" i="5"/>
  <c r="F8" i="5"/>
  <c r="E8" i="5"/>
  <c r="J4" i="5"/>
  <c r="D4" i="5"/>
  <c r="C4" i="5"/>
  <c r="B4" i="5"/>
  <c r="J15" i="4"/>
  <c r="J14" i="4"/>
  <c r="J7" i="10" s="1"/>
  <c r="C13" i="4"/>
  <c r="C8" i="8" s="1"/>
  <c r="I12" i="4"/>
  <c r="H12" i="4"/>
  <c r="G12" i="4"/>
  <c r="F12" i="4"/>
  <c r="E12" i="4"/>
  <c r="C7" i="4"/>
  <c r="C5" i="8" s="1"/>
  <c r="C22" i="11" s="1"/>
  <c r="I6" i="4"/>
  <c r="H6" i="4"/>
  <c r="G6" i="4"/>
  <c r="F6" i="4"/>
  <c r="E6" i="4"/>
  <c r="D3" i="4"/>
  <c r="C3" i="4"/>
  <c r="B3" i="4"/>
  <c r="B13" i="4" s="1"/>
  <c r="E16" i="3"/>
  <c r="E4" i="5" s="1"/>
  <c r="E13" i="3"/>
  <c r="E14" i="3" s="1"/>
  <c r="D13" i="3"/>
  <c r="D15" i="3" s="1"/>
  <c r="D12" i="3"/>
  <c r="E11" i="3"/>
  <c r="F11" i="3" s="1"/>
  <c r="C11" i="3"/>
  <c r="C13" i="3" s="1"/>
  <c r="E10" i="3"/>
  <c r="D10" i="3"/>
  <c r="F9" i="3"/>
  <c r="F10" i="3" s="1"/>
  <c r="E9" i="3"/>
  <c r="D8" i="3"/>
  <c r="F7" i="3"/>
  <c r="F8" i="3" s="1"/>
  <c r="E7" i="3"/>
  <c r="E8" i="3" s="1"/>
  <c r="E6" i="3"/>
  <c r="D6" i="3"/>
  <c r="E5" i="3"/>
  <c r="F5" i="3" s="1"/>
  <c r="D4" i="3"/>
  <c r="E3" i="3"/>
  <c r="E4" i="3" s="1"/>
  <c r="B66" i="2"/>
  <c r="D58" i="2"/>
  <c r="D66" i="2" s="1"/>
  <c r="C58" i="2"/>
  <c r="C66" i="2" s="1"/>
  <c r="B58" i="2"/>
  <c r="D57" i="2"/>
  <c r="C57" i="2"/>
  <c r="B57" i="2"/>
  <c r="B48" i="2"/>
  <c r="D38" i="2"/>
  <c r="C38" i="2"/>
  <c r="B38" i="2"/>
  <c r="B10" i="2"/>
  <c r="B15" i="2" s="1"/>
  <c r="B18" i="2" s="1"/>
  <c r="D16" i="6"/>
  <c r="C16" i="6"/>
  <c r="B16" i="6"/>
  <c r="D15" i="6"/>
  <c r="C15" i="6"/>
  <c r="B15" i="6"/>
  <c r="E14" i="6"/>
  <c r="J10" i="6"/>
  <c r="I10" i="6"/>
  <c r="H10" i="6"/>
  <c r="G10" i="6"/>
  <c r="F10" i="6"/>
  <c r="E10" i="6"/>
  <c r="J6" i="6"/>
  <c r="I6" i="6"/>
  <c r="H6" i="6"/>
  <c r="G6" i="6"/>
  <c r="F6" i="6"/>
  <c r="E6" i="6"/>
  <c r="D3" i="6"/>
  <c r="C3" i="6"/>
  <c r="B3" i="6"/>
  <c r="C17" i="4" l="1"/>
  <c r="C11" i="8" s="1"/>
  <c r="C8" i="4"/>
  <c r="C15" i="3"/>
  <c r="D14" i="3"/>
  <c r="C14" i="3"/>
  <c r="G11" i="3"/>
  <c r="F12" i="3"/>
  <c r="J6" i="9"/>
  <c r="E8" i="7"/>
  <c r="H26" i="9"/>
  <c r="C21" i="11"/>
  <c r="E6" i="9"/>
  <c r="F6" i="3"/>
  <c r="G5" i="3"/>
  <c r="B17" i="4"/>
  <c r="B11" i="8" s="1"/>
  <c r="B8" i="8"/>
  <c r="C19" i="4"/>
  <c r="C9" i="4"/>
  <c r="J23" i="10"/>
  <c r="E7" i="7"/>
  <c r="G9" i="3"/>
  <c r="D7" i="4"/>
  <c r="D8" i="4" s="1"/>
  <c r="D13" i="4"/>
  <c r="J9" i="8"/>
  <c r="D9" i="11"/>
  <c r="B35" i="11"/>
  <c r="B19" i="8"/>
  <c r="C35" i="11"/>
  <c r="G7" i="3"/>
  <c r="E12" i="3"/>
  <c r="E3" i="4"/>
  <c r="D19" i="8"/>
  <c r="C28" i="11"/>
  <c r="B39" i="11"/>
  <c r="C5" i="5"/>
  <c r="B8" i="11"/>
  <c r="C17" i="11"/>
  <c r="C39" i="11"/>
  <c r="E4" i="8"/>
  <c r="C6" i="8"/>
  <c r="C8" i="11"/>
  <c r="D17" i="11"/>
  <c r="D39" i="11"/>
  <c r="D8" i="11"/>
  <c r="F3" i="3"/>
  <c r="E19" i="9"/>
  <c r="C17" i="5"/>
  <c r="E3" i="6"/>
  <c r="B9" i="9"/>
  <c r="C9" i="9"/>
  <c r="B7" i="4"/>
  <c r="D9" i="9"/>
  <c r="C20" i="4" l="1"/>
  <c r="E9" i="7"/>
  <c r="E14" i="8"/>
  <c r="G6" i="3"/>
  <c r="H5" i="3"/>
  <c r="G12" i="3"/>
  <c r="H11" i="3"/>
  <c r="I26" i="9"/>
  <c r="G8" i="3"/>
  <c r="H7" i="3"/>
  <c r="C12" i="8"/>
  <c r="C21" i="4"/>
  <c r="D14" i="11"/>
  <c r="D14" i="9"/>
  <c r="D15" i="11"/>
  <c r="B5" i="8"/>
  <c r="B8" i="4"/>
  <c r="B5" i="5"/>
  <c r="D17" i="4"/>
  <c r="D11" i="8" s="1"/>
  <c r="D8" i="8"/>
  <c r="C7" i="8"/>
  <c r="C5" i="11"/>
  <c r="E39" i="11"/>
  <c r="E35" i="11"/>
  <c r="E20" i="11"/>
  <c r="C14" i="11"/>
  <c r="C15" i="11"/>
  <c r="C14" i="9"/>
  <c r="D5" i="8"/>
  <c r="D5" i="5"/>
  <c r="G10" i="3"/>
  <c r="H9" i="3"/>
  <c r="E7" i="6"/>
  <c r="E11" i="6"/>
  <c r="E21" i="9"/>
  <c r="F4" i="7"/>
  <c r="E13" i="4"/>
  <c r="E7" i="4"/>
  <c r="E8" i="4" s="1"/>
  <c r="F13" i="3"/>
  <c r="G3" i="3"/>
  <c r="F4" i="3"/>
  <c r="B14" i="11"/>
  <c r="B15" i="11"/>
  <c r="B14" i="9"/>
  <c r="D20" i="4"/>
  <c r="D9" i="4"/>
  <c r="D19" i="4"/>
  <c r="C7" i="11" l="1"/>
  <c r="C16" i="8"/>
  <c r="C30" i="11"/>
  <c r="C13" i="8"/>
  <c r="C21" i="8"/>
  <c r="C11" i="11"/>
  <c r="C29" i="11"/>
  <c r="C10" i="11"/>
  <c r="C31" i="9"/>
  <c r="C23" i="11"/>
  <c r="F7" i="7"/>
  <c r="F8" i="7" s="1"/>
  <c r="E17" i="4"/>
  <c r="E11" i="8" s="1"/>
  <c r="E8" i="8"/>
  <c r="E5" i="8"/>
  <c r="E6" i="8" s="1"/>
  <c r="E5" i="5"/>
  <c r="E20" i="8"/>
  <c r="E16" i="6"/>
  <c r="E6" i="10"/>
  <c r="H6" i="3"/>
  <c r="I5" i="3"/>
  <c r="D29" i="11"/>
  <c r="D10" i="11"/>
  <c r="D31" i="9"/>
  <c r="D23" i="11"/>
  <c r="J26" i="9"/>
  <c r="H12" i="3"/>
  <c r="I11" i="3"/>
  <c r="B29" i="11"/>
  <c r="B10" i="11"/>
  <c r="B31" i="9"/>
  <c r="B23" i="11"/>
  <c r="E38" i="11"/>
  <c r="E15" i="6"/>
  <c r="E17" i="6" s="1"/>
  <c r="E13" i="10"/>
  <c r="E15" i="10" s="1"/>
  <c r="H10" i="3"/>
  <c r="I9" i="3"/>
  <c r="B9" i="4"/>
  <c r="F16" i="3"/>
  <c r="F14" i="3"/>
  <c r="E19" i="4"/>
  <c r="E9" i="4"/>
  <c r="H8" i="3"/>
  <c r="I7" i="3"/>
  <c r="D12" i="8"/>
  <c r="D21" i="4"/>
  <c r="B6" i="8"/>
  <c r="B22" i="11"/>
  <c r="B21" i="11"/>
  <c r="G13" i="3"/>
  <c r="H3" i="3"/>
  <c r="G4" i="3"/>
  <c r="D6" i="8"/>
  <c r="D22" i="11"/>
  <c r="D21" i="11"/>
  <c r="F9" i="7" l="1"/>
  <c r="F14" i="8"/>
  <c r="E5" i="11"/>
  <c r="E7" i="8"/>
  <c r="E20" i="4"/>
  <c r="E15" i="5"/>
  <c r="E17" i="9" s="1"/>
  <c r="I8" i="3"/>
  <c r="J7" i="3"/>
  <c r="J8" i="3" s="1"/>
  <c r="I12" i="3"/>
  <c r="J11" i="3"/>
  <c r="J12" i="3" s="1"/>
  <c r="D5" i="11"/>
  <c r="D7" i="8"/>
  <c r="F21" i="9"/>
  <c r="G4" i="7"/>
  <c r="J5" i="3"/>
  <c r="J6" i="3" s="1"/>
  <c r="I6" i="3"/>
  <c r="C40" i="11"/>
  <c r="C22" i="8"/>
  <c r="C27" i="11"/>
  <c r="C32" i="11"/>
  <c r="C6" i="11"/>
  <c r="B12" i="8"/>
  <c r="B21" i="4"/>
  <c r="F14" i="6"/>
  <c r="E10" i="9"/>
  <c r="D7" i="11"/>
  <c r="D16" i="8"/>
  <c r="D30" i="11"/>
  <c r="D13" i="8"/>
  <c r="D21" i="8"/>
  <c r="D11" i="11"/>
  <c r="I10" i="3"/>
  <c r="J9" i="3"/>
  <c r="J10" i="3" s="1"/>
  <c r="F3" i="6"/>
  <c r="F4" i="8"/>
  <c r="F3" i="4"/>
  <c r="F4" i="5"/>
  <c r="F19" i="9"/>
  <c r="G19" i="9" s="1"/>
  <c r="H13" i="3"/>
  <c r="I3" i="3"/>
  <c r="H4" i="3"/>
  <c r="G16" i="3"/>
  <c r="G14" i="3"/>
  <c r="B7" i="8"/>
  <c r="B5" i="11"/>
  <c r="J3" i="3" l="1"/>
  <c r="I4" i="3"/>
  <c r="I13" i="3"/>
  <c r="H16" i="3"/>
  <c r="H14" i="3"/>
  <c r="H19" i="9"/>
  <c r="F39" i="11"/>
  <c r="F35" i="11"/>
  <c r="E7" i="9"/>
  <c r="E21" i="11" s="1"/>
  <c r="E16" i="5"/>
  <c r="E17" i="5" s="1"/>
  <c r="E9" i="10" s="1"/>
  <c r="E22" i="11"/>
  <c r="E20" i="9"/>
  <c r="E23" i="9" s="1"/>
  <c r="F6" i="9"/>
  <c r="F20" i="11" s="1"/>
  <c r="E12" i="8"/>
  <c r="E21" i="4"/>
  <c r="G3" i="6"/>
  <c r="G4" i="8"/>
  <c r="G3" i="4"/>
  <c r="G4" i="5"/>
  <c r="G13" i="5" s="1"/>
  <c r="B7" i="11"/>
  <c r="B16" i="8"/>
  <c r="B30" i="11"/>
  <c r="B13" i="8"/>
  <c r="B21" i="8"/>
  <c r="B11" i="11"/>
  <c r="F13" i="4"/>
  <c r="F7" i="4"/>
  <c r="F8" i="4" s="1"/>
  <c r="F7" i="6"/>
  <c r="F11" i="6"/>
  <c r="D40" i="11"/>
  <c r="D22" i="8"/>
  <c r="D27" i="11"/>
  <c r="D36" i="11"/>
  <c r="D6" i="11"/>
  <c r="D32" i="11"/>
  <c r="G7" i="7"/>
  <c r="F19" i="4" l="1"/>
  <c r="F9" i="4"/>
  <c r="G21" i="9"/>
  <c r="H4" i="7"/>
  <c r="G8" i="7"/>
  <c r="F17" i="4"/>
  <c r="F11" i="8" s="1"/>
  <c r="F8" i="8"/>
  <c r="B40" i="11"/>
  <c r="B22" i="8"/>
  <c r="B27" i="11"/>
  <c r="B36" i="11"/>
  <c r="B6" i="11"/>
  <c r="B32" i="11"/>
  <c r="C36" i="11"/>
  <c r="H3" i="6"/>
  <c r="H4" i="8"/>
  <c r="H3" i="4"/>
  <c r="H4" i="5"/>
  <c r="H13" i="5" s="1"/>
  <c r="G7" i="6"/>
  <c r="G11" i="6"/>
  <c r="F20" i="8"/>
  <c r="F16" i="6"/>
  <c r="F6" i="10"/>
  <c r="E7" i="11"/>
  <c r="E16" i="8"/>
  <c r="E30" i="11"/>
  <c r="E13" i="8"/>
  <c r="E21" i="8"/>
  <c r="F5" i="5"/>
  <c r="F5" i="8"/>
  <c r="F6" i="8" s="1"/>
  <c r="G6" i="9"/>
  <c r="G20" i="11" s="1"/>
  <c r="G13" i="4"/>
  <c r="G7" i="4"/>
  <c r="G8" i="4" s="1"/>
  <c r="G39" i="11"/>
  <c r="G35" i="11"/>
  <c r="I14" i="3"/>
  <c r="I16" i="3"/>
  <c r="I19" i="9" s="1"/>
  <c r="J19" i="9" s="1"/>
  <c r="F38" i="11"/>
  <c r="F13" i="10"/>
  <c r="F15" i="10" s="1"/>
  <c r="F15" i="6"/>
  <c r="J4" i="3"/>
  <c r="J13" i="3"/>
  <c r="G19" i="4" l="1"/>
  <c r="G9" i="4"/>
  <c r="G9" i="7"/>
  <c r="G14" i="8"/>
  <c r="E17" i="8"/>
  <c r="E18" i="8" s="1"/>
  <c r="G13" i="10"/>
  <c r="G15" i="10" s="1"/>
  <c r="G15" i="6"/>
  <c r="G38" i="11"/>
  <c r="H8" i="7"/>
  <c r="H7" i="7"/>
  <c r="H6" i="9"/>
  <c r="H20" i="11" s="1"/>
  <c r="H39" i="11"/>
  <c r="H35" i="11"/>
  <c r="H7" i="6"/>
  <c r="H11" i="6"/>
  <c r="G20" i="8"/>
  <c r="G16" i="6"/>
  <c r="G6" i="10"/>
  <c r="J4" i="8"/>
  <c r="J3" i="4"/>
  <c r="J14" i="3"/>
  <c r="J3" i="6"/>
  <c r="G8" i="8"/>
  <c r="G17" i="4"/>
  <c r="G11" i="8" s="1"/>
  <c r="H7" i="4"/>
  <c r="H8" i="4" s="1"/>
  <c r="H13" i="4"/>
  <c r="F5" i="11"/>
  <c r="F7" i="8"/>
  <c r="F17" i="6"/>
  <c r="E22" i="8"/>
  <c r="E36" i="11"/>
  <c r="E6" i="11"/>
  <c r="E40" i="11"/>
  <c r="G5" i="5"/>
  <c r="G5" i="8"/>
  <c r="G6" i="8" s="1"/>
  <c r="F15" i="5"/>
  <c r="F17" i="9" s="1"/>
  <c r="I4" i="8"/>
  <c r="I3" i="4"/>
  <c r="I4" i="5"/>
  <c r="I13" i="5" s="1"/>
  <c r="I3" i="6"/>
  <c r="F20" i="4"/>
  <c r="E5" i="10" l="1"/>
  <c r="E10" i="10" s="1"/>
  <c r="E41" i="11"/>
  <c r="E8" i="11"/>
  <c r="E23" i="8"/>
  <c r="E42" i="11" s="1"/>
  <c r="E37" i="11"/>
  <c r="E19" i="8"/>
  <c r="E27" i="9"/>
  <c r="H8" i="8"/>
  <c r="H17" i="4"/>
  <c r="H11" i="8" s="1"/>
  <c r="H5" i="8"/>
  <c r="H6" i="8" s="1"/>
  <c r="H5" i="5"/>
  <c r="I6" i="9"/>
  <c r="I20" i="11" s="1"/>
  <c r="H19" i="4"/>
  <c r="H9" i="4"/>
  <c r="I13" i="4"/>
  <c r="I7" i="4"/>
  <c r="H21" i="9"/>
  <c r="I4" i="7"/>
  <c r="F12" i="8"/>
  <c r="F21" i="4"/>
  <c r="I7" i="6"/>
  <c r="I11" i="6"/>
  <c r="I39" i="11"/>
  <c r="I35" i="11"/>
  <c r="H14" i="8"/>
  <c r="H9" i="7"/>
  <c r="J7" i="6"/>
  <c r="J11" i="6"/>
  <c r="F7" i="9"/>
  <c r="F21" i="11" s="1"/>
  <c r="F16" i="5"/>
  <c r="F17" i="5" s="1"/>
  <c r="F9" i="10" s="1"/>
  <c r="G5" i="11"/>
  <c r="G7" i="8"/>
  <c r="J13" i="4"/>
  <c r="J16" i="4" s="1"/>
  <c r="J7" i="4"/>
  <c r="J8" i="4" s="1"/>
  <c r="H16" i="6"/>
  <c r="H6" i="10"/>
  <c r="H20" i="8"/>
  <c r="G14" i="6"/>
  <c r="G17" i="6" s="1"/>
  <c r="F10" i="9"/>
  <c r="G20" i="4"/>
  <c r="F20" i="9"/>
  <c r="F23" i="9" s="1"/>
  <c r="F22" i="11"/>
  <c r="J39" i="11"/>
  <c r="J35" i="11"/>
  <c r="J20" i="11"/>
  <c r="G15" i="5"/>
  <c r="G17" i="9" s="1"/>
  <c r="H13" i="10"/>
  <c r="H15" i="10" s="1"/>
  <c r="H15" i="6"/>
  <c r="H38" i="11"/>
  <c r="I6" i="10" l="1"/>
  <c r="I20" i="8"/>
  <c r="I16" i="6"/>
  <c r="G22" i="11"/>
  <c r="G20" i="9"/>
  <c r="G23" i="9" s="1"/>
  <c r="J5" i="5"/>
  <c r="J5" i="8"/>
  <c r="J6" i="8" s="1"/>
  <c r="J8" i="8"/>
  <c r="J11" i="8" s="1"/>
  <c r="J19" i="4"/>
  <c r="J20" i="4" s="1"/>
  <c r="H7" i="8"/>
  <c r="H5" i="11"/>
  <c r="G7" i="9"/>
  <c r="G21" i="11" s="1"/>
  <c r="G16" i="5"/>
  <c r="G17" i="5" s="1"/>
  <c r="G9" i="10" s="1"/>
  <c r="I13" i="10"/>
  <c r="I15" i="10" s="1"/>
  <c r="I15" i="6"/>
  <c r="I38" i="11"/>
  <c r="H15" i="5"/>
  <c r="H17" i="9" s="1"/>
  <c r="J9" i="4"/>
  <c r="J20" i="8"/>
  <c r="J6" i="10" s="1"/>
  <c r="J16" i="6"/>
  <c r="I8" i="7"/>
  <c r="I7" i="7"/>
  <c r="I5" i="5"/>
  <c r="I5" i="8"/>
  <c r="I6" i="8" s="1"/>
  <c r="I8" i="8"/>
  <c r="I17" i="4"/>
  <c r="I11" i="8" s="1"/>
  <c r="F30" i="11"/>
  <c r="F13" i="8"/>
  <c r="F21" i="8"/>
  <c r="F7" i="11"/>
  <c r="F16" i="8"/>
  <c r="J15" i="6"/>
  <c r="J38" i="11"/>
  <c r="J13" i="10"/>
  <c r="J15" i="10" s="1"/>
  <c r="I8" i="4"/>
  <c r="G21" i="4"/>
  <c r="G12" i="8"/>
  <c r="H14" i="6"/>
  <c r="H17" i="6" s="1"/>
  <c r="G10" i="9"/>
  <c r="H20" i="4"/>
  <c r="E32" i="11"/>
  <c r="E26" i="10"/>
  <c r="E28" i="10" s="1"/>
  <c r="E17" i="11"/>
  <c r="E31" i="11"/>
  <c r="H21" i="4" l="1"/>
  <c r="H12" i="8"/>
  <c r="I21" i="9"/>
  <c r="J4" i="7"/>
  <c r="I14" i="6"/>
  <c r="I17" i="6" s="1"/>
  <c r="H10" i="9"/>
  <c r="G30" i="11"/>
  <c r="G13" i="8"/>
  <c r="G21" i="8"/>
  <c r="G7" i="11"/>
  <c r="G16" i="8"/>
  <c r="I9" i="4"/>
  <c r="I19" i="4"/>
  <c r="I20" i="4"/>
  <c r="J7" i="8"/>
  <c r="J12" i="8"/>
  <c r="J5" i="11"/>
  <c r="F27" i="10"/>
  <c r="E5" i="9"/>
  <c r="J14" i="5"/>
  <c r="J15" i="5"/>
  <c r="J17" i="9" s="1"/>
  <c r="I15" i="5"/>
  <c r="I17" i="9" s="1"/>
  <c r="I7" i="8"/>
  <c r="I5" i="11"/>
  <c r="F17" i="8"/>
  <c r="F18" i="8" s="1"/>
  <c r="I14" i="8"/>
  <c r="I9" i="7"/>
  <c r="H22" i="11"/>
  <c r="H20" i="9"/>
  <c r="H23" i="9" s="1"/>
  <c r="H7" i="9"/>
  <c r="H21" i="11" s="1"/>
  <c r="H16" i="5"/>
  <c r="H17" i="5" s="1"/>
  <c r="H9" i="10" s="1"/>
  <c r="F36" i="11"/>
  <c r="F6" i="11"/>
  <c r="F40" i="11"/>
  <c r="F22" i="8"/>
  <c r="F5" i="10" l="1"/>
  <c r="F10" i="10" s="1"/>
  <c r="F41" i="11"/>
  <c r="F8" i="11"/>
  <c r="F23" i="8"/>
  <c r="F42" i="11" s="1"/>
  <c r="F37" i="11"/>
  <c r="F19" i="8"/>
  <c r="F27" i="9"/>
  <c r="G36" i="11"/>
  <c r="G6" i="11"/>
  <c r="G40" i="11"/>
  <c r="G22" i="8"/>
  <c r="G17" i="8"/>
  <c r="G18" i="8" s="1"/>
  <c r="E9" i="9"/>
  <c r="E16" i="11"/>
  <c r="E27" i="11"/>
  <c r="E26" i="11"/>
  <c r="I7" i="9"/>
  <c r="I21" i="11" s="1"/>
  <c r="I16" i="5"/>
  <c r="I17" i="5" s="1"/>
  <c r="I9" i="10" s="1"/>
  <c r="J7" i="9"/>
  <c r="J21" i="11" s="1"/>
  <c r="J16" i="5"/>
  <c r="J17" i="5" s="1"/>
  <c r="J9" i="10" s="1"/>
  <c r="J7" i="7"/>
  <c r="I22" i="11"/>
  <c r="I20" i="9"/>
  <c r="I23" i="9" s="1"/>
  <c r="J22" i="11"/>
  <c r="J20" i="9"/>
  <c r="J13" i="8"/>
  <c r="J21" i="8"/>
  <c r="J7" i="11"/>
  <c r="H30" i="11"/>
  <c r="H13" i="8"/>
  <c r="H21" i="8"/>
  <c r="H16" i="8"/>
  <c r="H7" i="11"/>
  <c r="J14" i="6"/>
  <c r="I10" i="9"/>
  <c r="J17" i="6"/>
  <c r="J10" i="9" s="1"/>
  <c r="I12" i="8"/>
  <c r="I21" i="4"/>
  <c r="E14" i="11" l="1"/>
  <c r="E15" i="11"/>
  <c r="E14" i="9"/>
  <c r="G5" i="10"/>
  <c r="G10" i="10" s="1"/>
  <c r="G41" i="11"/>
  <c r="G8" i="11"/>
  <c r="G23" i="8"/>
  <c r="G42" i="11" s="1"/>
  <c r="G37" i="11"/>
  <c r="G19" i="8"/>
  <c r="I30" i="11"/>
  <c r="I13" i="8"/>
  <c r="I21" i="8"/>
  <c r="I7" i="11"/>
  <c r="I16" i="8"/>
  <c r="H17" i="8"/>
  <c r="H18" i="8" s="1"/>
  <c r="G27" i="9"/>
  <c r="J21" i="9"/>
  <c r="J23" i="9" s="1"/>
  <c r="J8" i="7"/>
  <c r="H36" i="11"/>
  <c r="H22" i="8"/>
  <c r="H6" i="11"/>
  <c r="H40" i="11"/>
  <c r="J6" i="11"/>
  <c r="J40" i="11"/>
  <c r="J22" i="8"/>
  <c r="F32" i="11"/>
  <c r="F26" i="10"/>
  <c r="F28" i="10" s="1"/>
  <c r="F17" i="11"/>
  <c r="F31" i="11"/>
  <c r="I6" i="11" l="1"/>
  <c r="I40" i="11"/>
  <c r="I22" i="8"/>
  <c r="I36" i="11"/>
  <c r="J9" i="7"/>
  <c r="J14" i="8"/>
  <c r="H5" i="10"/>
  <c r="H10" i="10" s="1"/>
  <c r="H41" i="11"/>
  <c r="H8" i="11"/>
  <c r="H23" i="8"/>
  <c r="H42" i="11" s="1"/>
  <c r="H19" i="8"/>
  <c r="H37" i="11"/>
  <c r="J36" i="11"/>
  <c r="E28" i="9"/>
  <c r="E29" i="9" s="1"/>
  <c r="E23" i="11"/>
  <c r="E29" i="11"/>
  <c r="E10" i="11"/>
  <c r="F5" i="9"/>
  <c r="G27" i="10"/>
  <c r="H27" i="9"/>
  <c r="I17" i="8"/>
  <c r="I18" i="8" s="1"/>
  <c r="G32" i="11"/>
  <c r="G26" i="10"/>
  <c r="G17" i="11"/>
  <c r="G31" i="11"/>
  <c r="I41" i="11" l="1"/>
  <c r="I8" i="11"/>
  <c r="I23" i="8"/>
  <c r="I42" i="11" s="1"/>
  <c r="I37" i="11"/>
  <c r="I19" i="8"/>
  <c r="I5" i="10"/>
  <c r="I10" i="10" s="1"/>
  <c r="I27" i="9"/>
  <c r="G28" i="10"/>
  <c r="J16" i="8"/>
  <c r="J30" i="11"/>
  <c r="H32" i="11"/>
  <c r="H26" i="10"/>
  <c r="H17" i="11"/>
  <c r="H31" i="11"/>
  <c r="F16" i="11"/>
  <c r="F9" i="9"/>
  <c r="F26" i="11"/>
  <c r="F27" i="11"/>
  <c r="E28" i="11"/>
  <c r="E11" i="11"/>
  <c r="E30" i="9"/>
  <c r="E31" i="9" s="1"/>
  <c r="E9" i="11"/>
  <c r="H27" i="10" l="1"/>
  <c r="H28" i="10" s="1"/>
  <c r="G5" i="9"/>
  <c r="I32" i="11"/>
  <c r="I26" i="10"/>
  <c r="I17" i="11"/>
  <c r="I31" i="11"/>
  <c r="J17" i="8"/>
  <c r="J18" i="8"/>
  <c r="F14" i="11"/>
  <c r="F15" i="11"/>
  <c r="F14" i="9"/>
  <c r="F28" i="9" l="1"/>
  <c r="F29" i="9" s="1"/>
  <c r="F29" i="11"/>
  <c r="F23" i="11"/>
  <c r="F10" i="11"/>
  <c r="J41" i="11"/>
  <c r="J8" i="11"/>
  <c r="J23" i="8"/>
  <c r="J42" i="11" s="1"/>
  <c r="J37" i="11"/>
  <c r="J19" i="8"/>
  <c r="J5" i="10"/>
  <c r="J10" i="10" s="1"/>
  <c r="G9" i="9"/>
  <c r="G16" i="11"/>
  <c r="G27" i="11"/>
  <c r="G26" i="11"/>
  <c r="J27" i="9"/>
  <c r="I27" i="10"/>
  <c r="I28" i="10" s="1"/>
  <c r="H5" i="9"/>
  <c r="J32" i="11" l="1"/>
  <c r="J26" i="10"/>
  <c r="J17" i="11"/>
  <c r="J31" i="11"/>
  <c r="H9" i="9"/>
  <c r="H16" i="11"/>
  <c r="H26" i="11"/>
  <c r="H27" i="11"/>
  <c r="G14" i="11"/>
  <c r="G15" i="11"/>
  <c r="G14" i="9"/>
  <c r="I5" i="9"/>
  <c r="J27" i="10"/>
  <c r="F28" i="11"/>
  <c r="F11" i="11"/>
  <c r="F30" i="9"/>
  <c r="F31" i="9" s="1"/>
  <c r="F9" i="11"/>
  <c r="J28" i="10" l="1"/>
  <c r="J5" i="9" s="1"/>
  <c r="G28" i="9"/>
  <c r="G29" i="9" s="1"/>
  <c r="G23" i="11"/>
  <c r="G29" i="11"/>
  <c r="G10" i="11"/>
  <c r="H14" i="11"/>
  <c r="H15" i="11"/>
  <c r="H14" i="9"/>
  <c r="J9" i="9"/>
  <c r="J16" i="11"/>
  <c r="J27" i="11"/>
  <c r="J26" i="11"/>
  <c r="I9" i="9"/>
  <c r="I16" i="11"/>
  <c r="I26" i="11"/>
  <c r="I27" i="11"/>
  <c r="H28" i="9" l="1"/>
  <c r="H29" i="9" s="1"/>
  <c r="H23" i="11"/>
  <c r="H29" i="11"/>
  <c r="H10" i="11"/>
  <c r="I15" i="11"/>
  <c r="I14" i="9"/>
  <c r="I14" i="11"/>
  <c r="J15" i="11"/>
  <c r="J14" i="9"/>
  <c r="J14" i="11"/>
  <c r="G28" i="11"/>
  <c r="G30" i="9"/>
  <c r="G31" i="9" s="1"/>
  <c r="G11" i="11"/>
  <c r="G9" i="11"/>
  <c r="I28" i="9" l="1"/>
  <c r="I29" i="9" s="1"/>
  <c r="I23" i="11"/>
  <c r="I29" i="11"/>
  <c r="I10" i="11"/>
  <c r="J28" i="9"/>
  <c r="J29" i="9" s="1"/>
  <c r="J23" i="11"/>
  <c r="J29" i="11"/>
  <c r="J10" i="11"/>
  <c r="H28" i="11"/>
  <c r="H30" i="9"/>
  <c r="H31" i="9" s="1"/>
  <c r="H11" i="11"/>
  <c r="H9" i="11"/>
  <c r="J11" i="11" l="1"/>
  <c r="J28" i="11"/>
  <c r="J30" i="9"/>
  <c r="J31" i="9" s="1"/>
  <c r="J9" i="11"/>
  <c r="I28" i="11"/>
  <c r="I30" i="9"/>
  <c r="I31" i="9" s="1"/>
  <c r="I11" i="11"/>
  <c r="I9" i="11"/>
</calcChain>
</file>

<file path=xl/sharedStrings.xml><?xml version="1.0" encoding="utf-8"?>
<sst xmlns="http://schemas.openxmlformats.org/spreadsheetml/2006/main" count="560" uniqueCount="378">
  <si>
    <t>PLANTILLA DE MODELADO FINANCIERO  ·  AIM Analytics</t>
  </si>
  <si>
    <t>3-Statement Financial Model  ·  CFI Standard  ·  Escalable y Replicable</t>
  </si>
  <si>
    <t xml:space="preserve">  INFORMACIÓN DE LA EMPRESA</t>
  </si>
  <si>
    <t>Empresa / Ticker</t>
  </si>
  <si>
    <t>Loma Negra Cía. Ind. Argentina S.A. / LOMA (BCBA)</t>
  </si>
  <si>
    <t>Bolsa / Mercado</t>
  </si>
  <si>
    <t>BCBA — Bolsas y Mercados Argentinos</t>
  </si>
  <si>
    <t>Sector</t>
  </si>
  <si>
    <t>Materiales de Construcción — Cemento, Hormigón, Agregados</t>
  </si>
  <si>
    <t>Moneda del modelo</t>
  </si>
  <si>
    <t>ARS — Pesos Argentinos (miles de pesos, IAS 29)</t>
  </si>
  <si>
    <t>Unidad de reporte</t>
  </si>
  <si>
    <t>Miles de pesos argentinos (ARS miles)</t>
  </si>
  <si>
    <t>Fuente de datos</t>
  </si>
  <si>
    <t>EEFF Consolidados Auditados NIIF — presentados ante CNV</t>
  </si>
  <si>
    <t>Período fiscal</t>
  </si>
  <si>
    <t>Diciembre (cierre 31 de diciembre)</t>
  </si>
  <si>
    <t>Años históricos</t>
  </si>
  <si>
    <t>FY2023, FY2024, FY2025</t>
  </si>
  <si>
    <t>Años proyectados</t>
  </si>
  <si>
    <t>FY2026E – FY2030E</t>
  </si>
  <si>
    <t>Analista</t>
  </si>
  <si>
    <t>Gonzalo Dalmasso Müller — AIM Analytics</t>
  </si>
  <si>
    <t>Fecha del modelo</t>
  </si>
  <si>
    <t>Junio 2026</t>
  </si>
  <si>
    <t xml:space="preserve">  COLOR CODING — CFI STANDARD</t>
  </si>
  <si>
    <t>Hardcodes / inputs editables — datos del reporte fuente y supuestos</t>
  </si>
  <si>
    <t>AZUL</t>
  </si>
  <si>
    <t>Hardcodes históricos tomados directamente del reporte fuente</t>
  </si>
  <si>
    <t>NEGRO</t>
  </si>
  <si>
    <t>Fórmulas y cálculos internos de la misma hoja</t>
  </si>
  <si>
    <t>VERDE</t>
  </si>
  <si>
    <t>Links entre hojas (=REVENUE!C5, =PL!E12, etc.)</t>
  </si>
  <si>
    <t>ROJO</t>
  </si>
  <si>
    <t>Links a archivos externos</t>
  </si>
  <si>
    <t xml:space="preserve">  ESTRUCTURA DEL MODELO — 11 HOJAS</t>
  </si>
  <si>
    <t>COVER</t>
  </si>
  <si>
    <t>Esta hoja — información de la empresa, color coding e instrucciones</t>
  </si>
  <si>
    <t>INPUTS</t>
  </si>
  <si>
    <t>⭐ HOJA MÁS IMPORTANTE — todos los datos históricos + supuestos de proyección</t>
  </si>
  <si>
    <t>REVENUE</t>
  </si>
  <si>
    <t>Buildup de ingresos por segmento. Driver: tasa de crecimiento anual</t>
  </si>
  <si>
    <t>COGS_OPEX</t>
  </si>
  <si>
    <t>Buildup de COGS y SGA como % de ventas. Impairments separados</t>
  </si>
  <si>
    <t>NWC</t>
  </si>
  <si>
    <t>Net Working Capital — metodología DSO / DIO / DPO</t>
  </si>
  <si>
    <t>CAPEX_DA</t>
  </si>
  <si>
    <t>CapEx y D&amp;A como % de ventas. PP&amp;E roll-forward</t>
  </si>
  <si>
    <t>DEBT</t>
  </si>
  <si>
    <t>Debt schedule — saldo, emisiones, repagos, intereses sobre saldo promedio</t>
  </si>
  <si>
    <t>PL</t>
  </si>
  <si>
    <t>📊 Income Statement proyectado — P&amp;L completo con márgenes</t>
  </si>
  <si>
    <t>BS</t>
  </si>
  <si>
    <t>📊 Balance Sheet proyectado — con Balance Check (debe = 0)</t>
  </si>
  <si>
    <t>CF</t>
  </si>
  <si>
    <t>📊 Cash Flow Statement proyectado — método indirecto</t>
  </si>
  <si>
    <t>KPIs</t>
  </si>
  <si>
    <t>📈 Ratios y KPIs financieros — rentabilidad, liquidez, apalancamiento, valuación</t>
  </si>
  <si>
    <t xml:space="preserve">  CÓMO USAR ESTA PLANTILLA — PASO A PASO</t>
  </si>
  <si>
    <t>PASO 1</t>
  </si>
  <si>
    <t>Completar la sección 'Información de la Empresa' arriba con los datos de la empresa a analizar</t>
  </si>
  <si>
    <t>PASO 2</t>
  </si>
  <si>
    <t>Ir a la hoja INPUTS. Cargar todos los datos históricos en celdas AZULES (tomados del reporte fuente)</t>
  </si>
  <si>
    <t>PASO 3</t>
  </si>
  <si>
    <t>En INPUTS sección D, completar los supuestos de proyección en celdas AZULES con fondo AMARILLO</t>
  </si>
  <si>
    <t>PASO 4</t>
  </si>
  <si>
    <t>Las hojas REVENUE, COGS_OPEX, NWC, CAPEX_DA y DEBT se calculan automáticamente</t>
  </si>
  <si>
    <t>PASO 5</t>
  </si>
  <si>
    <t>Verificar que las hojas PL, BS y CF muestren los datos correctos</t>
  </si>
  <si>
    <t>PASO 6</t>
  </si>
  <si>
    <t>Controlar que el Balance Check en la hoja BS sea = 0 en todos los períodos</t>
  </si>
  <si>
    <t>PASO 7</t>
  </si>
  <si>
    <t>Revisar la hoja KPIs para analizar ratios y tendencias</t>
  </si>
  <si>
    <t>PASO 8</t>
  </si>
  <si>
    <t>Para agregar valuación (DCF), insertar nueva hoja después de KPIs y linkear desde CF</t>
  </si>
  <si>
    <t>AIM Analytics &amp; Intelligence for Management  ·  Gonzalo Dalmasso Müller  ·  gondss7.github.io</t>
  </si>
  <si>
    <t>INPUTS — Datos Históricos y Supuestos de Proyección</t>
  </si>
  <si>
    <t>FY2023A</t>
  </si>
  <si>
    <t>FY2024A</t>
  </si>
  <si>
    <t>FY2025A</t>
  </si>
  <si>
    <t>FY2026E</t>
  </si>
  <si>
    <t>FY2027E</t>
  </si>
  <si>
    <t>FY2028E</t>
  </si>
  <si>
    <t>FY2029E</t>
  </si>
  <si>
    <t>FY2030E</t>
  </si>
  <si>
    <t xml:space="preserve">  A. INCOME STATEMENT — Datos Históricos</t>
  </si>
  <si>
    <t>Net Sales / Ingresos</t>
  </si>
  <si>
    <t xml:space="preserve">  Cost of Goods Sold (COGS)</t>
  </si>
  <si>
    <t>Gross Profit</t>
  </si>
  <si>
    <t xml:space="preserve">  SG&amp;A (excl. impairments)</t>
  </si>
  <si>
    <t>Otros ingresos / egresos netos</t>
  </si>
  <si>
    <t>Impuesto débito/crédito bancario</t>
  </si>
  <si>
    <t>Operating Income / EBIT</t>
  </si>
  <si>
    <t>Diferencias de cambio</t>
  </si>
  <si>
    <t>Resultado por posición monetaria (RECPAM)</t>
  </si>
  <si>
    <t>Ingresos financieros</t>
  </si>
  <si>
    <t>Egresos financieros</t>
  </si>
  <si>
    <t>Income Before Tax (EBT)</t>
  </si>
  <si>
    <t>Impuesto a las ganancias corriente</t>
  </si>
  <si>
    <t>Impuesto a las ganancias diferido</t>
  </si>
  <si>
    <t>Net Income / (Loss)</t>
  </si>
  <si>
    <t xml:space="preserve">  B. BALANCE SHEET — Datos Históricos </t>
  </si>
  <si>
    <t>ACTIVO</t>
  </si>
  <si>
    <t>Inventarios</t>
  </si>
  <si>
    <t>Otros créditos</t>
  </si>
  <si>
    <t>Créditos por ventas (trade receivables)</t>
  </si>
  <si>
    <t>Inversiones corrientes</t>
  </si>
  <si>
    <t>Efectivo y equivalentes</t>
  </si>
  <si>
    <t>TOTAL CURRENT ASSETS</t>
  </si>
  <si>
    <t>Propiedad, planta y equipo (PP&amp;E)</t>
  </si>
  <si>
    <t>Activos por derecho de uso</t>
  </si>
  <si>
    <t>Activos intangibles</t>
  </si>
  <si>
    <t>Inversiones en compañías</t>
  </si>
  <si>
    <t>Llave de negocio (Goodwill)</t>
  </si>
  <si>
    <t>Otros activos</t>
  </si>
  <si>
    <t>TOTAL NO CURRENT ASSETS</t>
  </si>
  <si>
    <t>TOTAL  ASSETS</t>
  </si>
  <si>
    <t>PASIVO</t>
  </si>
  <si>
    <t>Préstamos (financieros)</t>
  </si>
  <si>
    <t>Pasivos por arrendamiento</t>
  </si>
  <si>
    <t>Deudas comerciales (AP)</t>
  </si>
  <si>
    <t>Anticipos de clientes</t>
  </si>
  <si>
    <t>Remuneraciones y cargas sociales</t>
  </si>
  <si>
    <t>Deudas fiscales</t>
  </si>
  <si>
    <t>Otras deudas</t>
  </si>
  <si>
    <t>TOTAL CURRENT LIABILITIES</t>
  </si>
  <si>
    <t>Provisiones</t>
  </si>
  <si>
    <t>Impuesto a las ganancias diferido (pasivo)</t>
  </si>
  <si>
    <t>TOTAL NO CURRENT LIABILITIES</t>
  </si>
  <si>
    <t>TOTAL LIABILITIES</t>
  </si>
  <si>
    <t>Capital social</t>
  </si>
  <si>
    <t>Reservas</t>
  </si>
  <si>
    <t>Resultados acumulados</t>
  </si>
  <si>
    <t>Patrimonio atribuible a propietarios</t>
  </si>
  <si>
    <t>Participaciones no controladoras (NCI)</t>
  </si>
  <si>
    <t>Total Patrimonio Neto</t>
  </si>
  <si>
    <t>TOTAL PASIVO + PATRIMONIO NETO</t>
  </si>
  <si>
    <t xml:space="preserve">  C. CASH FLOW — Datos Históricos  (fuente: reporte oficial, pág. XX)</t>
  </si>
  <si>
    <t>Ganancia neta del ejercicio</t>
  </si>
  <si>
    <t>Impuesto a las ganancias reconocido en resultados</t>
  </si>
  <si>
    <t>Depreciaciones y amortizaciones</t>
  </si>
  <si>
    <t>Intereses devengados</t>
  </si>
  <si>
    <t>Pagos basados en acciones</t>
  </si>
  <si>
    <t>Resultado de la venta de propiedades, planta y equipo</t>
  </si>
  <si>
    <t>(Recupero) desvalorización del FFFSFI</t>
  </si>
  <si>
    <t>Pérdida por operación de títulos</t>
  </si>
  <si>
    <t>Resultado por posición monetaria</t>
  </si>
  <si>
    <t>Cuentas comerciales por cobrar</t>
  </si>
  <si>
    <t>Cuentas por pagar</t>
  </si>
  <si>
    <t>Impuestos por pagar</t>
  </si>
  <si>
    <t>Impuesto a las ganancias pagado</t>
  </si>
  <si>
    <t>Flujo neto de efectivo generado por las operaciones</t>
  </si>
  <si>
    <t>Cobros por venta de participación en Yguazú Cementos S.A.</t>
  </si>
  <si>
    <t>Cobros por venta de propiedades, planta y equipo</t>
  </si>
  <si>
    <t>Adquisición de propiedades, planta y equipo</t>
  </si>
  <si>
    <t>Adquisición de intangibles</t>
  </si>
  <si>
    <t>Adquisición de inversiones</t>
  </si>
  <si>
    <t>Rescate de inversiones</t>
  </si>
  <si>
    <t>Aportes al FFFSFI</t>
  </si>
  <si>
    <t>Flujo neto de efectivo aplicado a las actividades de inversión</t>
  </si>
  <si>
    <t>Nuevos préstamos</t>
  </si>
  <si>
    <t>Emisión de obligaciones negociables</t>
  </si>
  <si>
    <t>Intereses pagados</t>
  </si>
  <si>
    <t>Pago de dividendos</t>
  </si>
  <si>
    <t>Pagos de deudas por arrendamientos</t>
  </si>
  <si>
    <t>Pagos de préstamos y obligaciones negociables</t>
  </si>
  <si>
    <t>Compra de acciones propias en cartera</t>
  </si>
  <si>
    <t>Flujo neto de efectivo generado por (aplicado a) las actividades de financiación</t>
  </si>
  <si>
    <t>Variación neta del efectivo y equivalentes</t>
  </si>
  <si>
    <t>Efectivo y equivalentes de efectivo al inicio del ejercicio (Nota 29)</t>
  </si>
  <si>
    <t>Efecto de reexpresión en moneda homogénea de la caja y equivalentes</t>
  </si>
  <si>
    <t>Efectos de la variación del tipo de cambio sobre el efectivo y equivalentes de efectivo mantenidos en moneda extranjera</t>
  </si>
  <si>
    <t>Efectivo y equivalentes de efectivo al cierre del ejercicio (Nota 29)</t>
  </si>
  <si>
    <t xml:space="preserve">  D. SUPUESTOS DE PROYECCIÓN  — celdas editables (completar para FY proyectados)</t>
  </si>
  <si>
    <t>FY20XXE</t>
  </si>
  <si>
    <t xml:space="preserve">  REVENUE — Tasas de crecimiento por segmento</t>
  </si>
  <si>
    <t xml:space="preserve">  Segmento 1 — crecimiento %</t>
  </si>
  <si>
    <t xml:space="preserve">  Segmento 2 — crecimiento %</t>
  </si>
  <si>
    <t xml:space="preserve">  Segmento 3 — crecimiento %</t>
  </si>
  <si>
    <t xml:space="preserve">  Segmento 4 — crecimiento %</t>
  </si>
  <si>
    <t xml:space="preserve">  Segmento 5 — crecimiento %</t>
  </si>
  <si>
    <t xml:space="preserve">  MÁRGENES Y COSTOS</t>
  </si>
  <si>
    <t xml:space="preserve">  COGS como % de ventas</t>
  </si>
  <si>
    <t xml:space="preserve">  SG&amp;A como % de ventas</t>
  </si>
  <si>
    <t xml:space="preserve">  Goodwill Impairment ($mm)</t>
  </si>
  <si>
    <t xml:space="preserve">  Intangible Impairment ($mm)</t>
  </si>
  <si>
    <t xml:space="preserve">  Tax Rate (normalizada)</t>
  </si>
  <si>
    <t xml:space="preserve">  CAPITAL DE TRABAJO — Días</t>
  </si>
  <si>
    <t xml:space="preserve">  DSO (días de cobranza)</t>
  </si>
  <si>
    <t xml:space="preserve">  DIO (días de inventario)</t>
  </si>
  <si>
    <t xml:space="preserve">  DPO (días de pago)</t>
  </si>
  <si>
    <t xml:space="preserve">  CAPEX Y D&amp;A — % de ventas</t>
  </si>
  <si>
    <t xml:space="preserve">  CapEx como % de ventas</t>
  </si>
  <si>
    <t xml:space="preserve">  D&amp;A como % de ventas</t>
  </si>
  <si>
    <t xml:space="preserve">  DEUDA</t>
  </si>
  <si>
    <t xml:space="preserve">  Tasa de interés sobre deuda</t>
  </si>
  <si>
    <t xml:space="preserve">  Repago de deuda anual ($mm)</t>
  </si>
  <si>
    <t xml:space="preserve">  Nueva emisión de deuda ($mm)</t>
  </si>
  <si>
    <t xml:space="preserve">  OTROS</t>
  </si>
  <si>
    <t xml:space="preserve">  Dividendo por acción ($)</t>
  </si>
  <si>
    <t xml:space="preserve">  Acciones en circulación (mm)</t>
  </si>
  <si>
    <t xml:space="preserve">  Other Income/(Expense) ($mm)</t>
  </si>
  <si>
    <t>REVENUE BUILDUP — Por Segmento</t>
  </si>
  <si>
    <t>Segmento 1 Cemento</t>
  </si>
  <si>
    <t>YoY Growth</t>
  </si>
  <si>
    <t xml:space="preserve">  YoY Growth %</t>
  </si>
  <si>
    <t>N/A</t>
  </si>
  <si>
    <t>Segmento 2 Hormigón</t>
  </si>
  <si>
    <t>Segmento 3 Agregados</t>
  </si>
  <si>
    <t>Segmento 4 Ferroviario</t>
  </si>
  <si>
    <t>Segmento 5 otros</t>
  </si>
  <si>
    <t>TOTAL Segmentos</t>
  </si>
  <si>
    <t>Suma segmentos</t>
  </si>
  <si>
    <t xml:space="preserve">  Total YoY Growth %</t>
  </si>
  <si>
    <t>Reconciliación moneda extranjera</t>
  </si>
  <si>
    <t>TOTAL Revenue</t>
  </si>
  <si>
    <t>COGS &amp; OPEX BUILDUP</t>
  </si>
  <si>
    <t>Net Sales ($mm)</t>
  </si>
  <si>
    <t xml:space="preserve">  A. COSTO DE VENTAS (COGS)</t>
  </si>
  <si>
    <t>Cost of Goods Sold ($mm)</t>
  </si>
  <si>
    <t>GROSS PROFIT ($mm)</t>
  </si>
  <si>
    <t xml:space="preserve">  Gross Margin %</t>
  </si>
  <si>
    <t xml:space="preserve">  B. GASTOS OPERATIVOS (SG&amp;A)</t>
  </si>
  <si>
    <t>SG&amp;A Expenses ($mm)</t>
  </si>
  <si>
    <t>Total SG&amp;A (incl. impairments)</t>
  </si>
  <si>
    <t xml:space="preserve">  C. EBITDA SUMMARY</t>
  </si>
  <si>
    <t>OPERATING INCOME / EBIT ($mm)</t>
  </si>
  <si>
    <t xml:space="preserve">  Operating Margin %</t>
  </si>
  <si>
    <t>NET WORKING CAPITAL — Metodología DSO / DIO / DPO</t>
  </si>
  <si>
    <t>DSO = AR/Sales×365  |  DIO = Inventory/COGS×365  |  DPO = AP/COGS×365  |  NWC = AR + Inventory - AP</t>
  </si>
  <si>
    <t>COGS ($mm)</t>
  </si>
  <si>
    <t xml:space="preserve">  SUPUESTOS DE DÍAS</t>
  </si>
  <si>
    <t xml:space="preserve">  DSO (días)</t>
  </si>
  <si>
    <t xml:space="preserve">  DIO (días)</t>
  </si>
  <si>
    <t xml:space="preserve">  DPO (días)</t>
  </si>
  <si>
    <t xml:space="preserve">  BALANCE SHEET ITEMS ($mm)</t>
  </si>
  <si>
    <t>Accounts Receivable</t>
  </si>
  <si>
    <t>Inventories</t>
  </si>
  <si>
    <t>Accounts Payable</t>
  </si>
  <si>
    <t>NET WORKING CAPITAL (AR + Inv - AP)</t>
  </si>
  <si>
    <t xml:space="preserve">  Variación NWC (aumento = uso de caja)</t>
  </si>
  <si>
    <t>CAPEX &amp; D&amp;A — % de Ventas + PP&amp;E Roll-Forward</t>
  </si>
  <si>
    <t xml:space="preserve">  A. CAPITAL EXPENDITURES</t>
  </si>
  <si>
    <t>Capital Expenditures ($mm)</t>
  </si>
  <si>
    <t xml:space="preserve">  B. DEPRECIACIÓN &amp; AMORTIZACIÓN</t>
  </si>
  <si>
    <t>Depreciation &amp; Amortization ($mm)</t>
  </si>
  <si>
    <t xml:space="preserve">  C. PP&amp;E ROLL-FORWARD</t>
  </si>
  <si>
    <t>PP&amp;E, net — Opening Balance</t>
  </si>
  <si>
    <t xml:space="preserve">  + Capital Expenditures</t>
  </si>
  <si>
    <t xml:space="preserve">  - Depreciation &amp; Amortization</t>
  </si>
  <si>
    <t>PP&amp;E, net — Closing Balance</t>
  </si>
  <si>
    <t>DEBT SCHEDULE — Saldo, Emisiones, Repagos, Intereses</t>
  </si>
  <si>
    <t xml:space="preserve">  DEUDA TOTAL (Corriente + Largo Plazo)</t>
  </si>
  <si>
    <t>Deuda — Opening Balance ($mm)</t>
  </si>
  <si>
    <t xml:space="preserve">  + Nueva Emisión de Deuda ($mm)</t>
  </si>
  <si>
    <t xml:space="preserve">  - Repago de Deuda ($mm)</t>
  </si>
  <si>
    <t>Deuda — Closing Balance ($mm)</t>
  </si>
  <si>
    <t>Interest Expense ($mm)</t>
  </si>
  <si>
    <t xml:space="preserve">  Tasa implícita %</t>
  </si>
  <si>
    <t>PROJECTED INCOME STATEMENT (P&amp;L)</t>
  </si>
  <si>
    <t>ARS miles  |  Año fiscal: diciembre  |  Loma Negra Cía. Ind. Argentina S.A.</t>
  </si>
  <si>
    <t>NET SALES / INGRESOS</t>
  </si>
  <si>
    <t>Cost of Goods Sold (COGS)</t>
  </si>
  <si>
    <t>GROSS PROFIT</t>
  </si>
  <si>
    <t>SG&amp;A (excl. impairments)</t>
  </si>
  <si>
    <t xml:space="preserve">  Goodwill Impairment</t>
  </si>
  <si>
    <t xml:space="preserve">  Intangible Impairment</t>
  </si>
  <si>
    <t>OPERATING INCOME / EBIT</t>
  </si>
  <si>
    <t>Interest Expense</t>
  </si>
  <si>
    <t>Other Income / (Expense)</t>
  </si>
  <si>
    <t>INCOME BEFORE TAX (EBT)</t>
  </si>
  <si>
    <t>Tax Provision / (Benefit)</t>
  </si>
  <si>
    <t>NET INCOME / (LOSS)</t>
  </si>
  <si>
    <t xml:space="preserve">  Net Margin %</t>
  </si>
  <si>
    <t>D&amp;A (memo)</t>
  </si>
  <si>
    <t>EBITDA (memo)</t>
  </si>
  <si>
    <t xml:space="preserve">  EBITDA Margin %</t>
  </si>
  <si>
    <t>EPS (Basic)</t>
  </si>
  <si>
    <t>PROJECTED BALANCE SHEET</t>
  </si>
  <si>
    <t>$ en millones  |  Al cierre del ejercicio fiscal</t>
  </si>
  <si>
    <t xml:space="preserve">  ACTIVOS</t>
  </si>
  <si>
    <t>Cash &amp; Equivalents</t>
  </si>
  <si>
    <t>Accounts Receivable (AR)</t>
  </si>
  <si>
    <t>Other Current Assets</t>
  </si>
  <si>
    <t>PP&amp;E, net</t>
  </si>
  <si>
    <t>Goodwill</t>
  </si>
  <si>
    <t>Intangible Assets, net</t>
  </si>
  <si>
    <t>Other Non-Current Assets</t>
  </si>
  <si>
    <t>TOTAL ASSETS</t>
  </si>
  <si>
    <t xml:space="preserve">  PASIVOS</t>
  </si>
  <si>
    <t>Accounts Payable (AP)</t>
  </si>
  <si>
    <t>Current Portion of LT Debt</t>
  </si>
  <si>
    <t>Other Current Liabilities</t>
  </si>
  <si>
    <t>Long-Term Debt</t>
  </si>
  <si>
    <t>Other Non-Current Liabilities</t>
  </si>
  <si>
    <t xml:space="preserve">  PATRIMONIO NETO</t>
  </si>
  <si>
    <t>Common Stock + APIC</t>
  </si>
  <si>
    <t>Retained Earnings / (Deficit)</t>
  </si>
  <si>
    <t>Other Equity Components</t>
  </si>
  <si>
    <t>TOTAL EQUITY / PATRIMONIO NETO</t>
  </si>
  <si>
    <t>TOTAL LIABILITIES &amp; EQUITY</t>
  </si>
  <si>
    <t xml:space="preserve">  ✓ Balance Check (Assets - L&amp;E = 0)</t>
  </si>
  <si>
    <t>PROJECTED CASH FLOW STATEMENT</t>
  </si>
  <si>
    <t>ARS miles  |  Método indirecto  |  Loma Negra S.A.</t>
  </si>
  <si>
    <t xml:space="preserve">  ACTIVIDADES OPERATIVAS</t>
  </si>
  <si>
    <t xml:space="preserve">  + D&amp;A</t>
  </si>
  <si>
    <t xml:space="preserve">  + Goodwill + Intangible Impairment</t>
  </si>
  <si>
    <t xml:space="preserve">  + Other Non-Cash Items</t>
  </si>
  <si>
    <t xml:space="preserve">  + Change in Working Capital</t>
  </si>
  <si>
    <t>OPERATING CASH FLOW</t>
  </si>
  <si>
    <t xml:space="preserve">  ACTIVIDADES DE INVERSIÓN</t>
  </si>
  <si>
    <t xml:space="preserve">  Capital Expenditures</t>
  </si>
  <si>
    <t xml:space="preserve">  Other Investing Activities</t>
  </si>
  <si>
    <t>INVESTING CASH FLOW</t>
  </si>
  <si>
    <t xml:space="preserve">  ACTIVIDADES DE FINANCIAMIENTO</t>
  </si>
  <si>
    <t xml:space="preserve">  Debt Repayment</t>
  </si>
  <si>
    <t xml:space="preserve">  New Debt Issuance</t>
  </si>
  <si>
    <t xml:space="preserve">  Dividends Paid</t>
  </si>
  <si>
    <t xml:space="preserve">  Share Repurchases</t>
  </si>
  <si>
    <t xml:space="preserve">  Other Financing</t>
  </si>
  <si>
    <t>FINANCING CASH FLOW</t>
  </si>
  <si>
    <t>FX Effect on Cash</t>
  </si>
  <si>
    <t>NET CHANGE IN CASH</t>
  </si>
  <si>
    <t xml:space="preserve">  Beginning Cash Balance</t>
  </si>
  <si>
    <t>ENDING CASH BALANCE</t>
  </si>
  <si>
    <t>KPIs &amp; RATIOS FINANCIEROS — Rentabilidad · Liquidez · Apalancamiento · Valuación</t>
  </si>
  <si>
    <t>Todos los ratios se calculan automáticamente desde PL, BS y CF — Loma Negra S.A.</t>
  </si>
  <si>
    <t xml:space="preserve">  RENTABILIDAD</t>
  </si>
  <si>
    <t>Gross Margin %</t>
  </si>
  <si>
    <t>EBITDA Margin %</t>
  </si>
  <si>
    <t>Operating Margin %</t>
  </si>
  <si>
    <t>Net Margin %</t>
  </si>
  <si>
    <t>ROE (NI / Equity)</t>
  </si>
  <si>
    <t>ROA (NI / Assets)</t>
  </si>
  <si>
    <t>ROIC (EBIT(1-t) / IC)</t>
  </si>
  <si>
    <t xml:space="preserve">  LIQUIDEZ</t>
  </si>
  <si>
    <t>Current Ratio (CA/CL)</t>
  </si>
  <si>
    <t>Quick Ratio ((CA-Inv)/CL)</t>
  </si>
  <si>
    <t>Cash Ratio (Cash/CL)</t>
  </si>
  <si>
    <t>Operating CF / CL</t>
  </si>
  <si>
    <t xml:space="preserve">  EFICIENCIA</t>
  </si>
  <si>
    <t>DSO (días)</t>
  </si>
  <si>
    <t>DIO (días)</t>
  </si>
  <si>
    <t>DPO (días)</t>
  </si>
  <si>
    <t>Asset Turnover (Sales/Assets)</t>
  </si>
  <si>
    <t xml:space="preserve">  APALANCAMIENTO</t>
  </si>
  <si>
    <t>Deuda Neta ($mm)</t>
  </si>
  <si>
    <t>Deuda Neta / EBITDA</t>
  </si>
  <si>
    <t>Deuda Total / Equity</t>
  </si>
  <si>
    <t>Deuda Total / Assets</t>
  </si>
  <si>
    <t>Interest Coverage (EBIT/IntExp)</t>
  </si>
  <si>
    <t>FCF ($mm)</t>
  </si>
  <si>
    <t>FCF Yield (FCF/EBITDA)</t>
  </si>
  <si>
    <t xml:space="preserve">  CRECIMIENTO</t>
  </si>
  <si>
    <t>Revenue Growth %</t>
  </si>
  <si>
    <t>EBITDA Growth %</t>
  </si>
  <si>
    <t>Net Income Growth %</t>
  </si>
  <si>
    <t>CapEx / Revenue %</t>
  </si>
  <si>
    <t>Revenue ($mm)</t>
  </si>
  <si>
    <t>EBITDA ($mm)</t>
  </si>
  <si>
    <t>Net Income ($mm)</t>
  </si>
  <si>
    <t>EPS</t>
  </si>
  <si>
    <t xml:space="preserve">  VALUACIÓN — completar precio de mercado</t>
  </si>
  <si>
    <t>Precio de mercado (manual)</t>
  </si>
  <si>
    <t>[N/A]</t>
  </si>
  <si>
    <t>Shares outstanding (mm)</t>
  </si>
  <si>
    <t>Market Cap ($mm)</t>
  </si>
  <si>
    <t>Enterprise Value ($mm)</t>
  </si>
  <si>
    <t>[Market Cap + Deuda Neta]</t>
  </si>
  <si>
    <t>EV/EBITDA</t>
  </si>
  <si>
    <t>[EV / EBITDA]</t>
  </si>
  <si>
    <t>EV/Revenue</t>
  </si>
  <si>
    <t>[EV / Revenue]</t>
  </si>
  <si>
    <t>P/E</t>
  </si>
  <si>
    <t>[Market Cap / Net Income]</t>
  </si>
  <si>
    <t>P/BV</t>
  </si>
  <si>
    <t>[Market Cap / Total Equity]</t>
  </si>
  <si>
    <t>AZUL + fondo 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</si>
</sst>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\-"/>
    <numFmt numFmtId="165" formatCode="0.0%;\(0.0%\);\-"/>
    <numFmt numFmtId="166" formatCode="#,##0.0;\(#,##0.0\);\-"/>
    <numFmt numFmtId="167" formatCode="_-* #,##0_-;\-* #,##0_-;_-* \-??_-;_-@_-"/>
    <numFmt numFmtId="168" formatCode="\$0.00;&quot;($&quot;0.00\);\-"/>
    <numFmt numFmtId="169" formatCode="0.0\x"/>
  </numFmts>
  <fonts count="48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  <charset val="1"/>
    </font>
    <font>
      <i/>
      <sz val="9"/>
      <color rgb="FF5D768C"/>
      <name val="Arial"/>
      <family val="2"/>
      <charset val="1"/>
    </font>
    <font>
      <b/>
      <sz val="8.5"/>
      <color rgb="FFFFFFFF"/>
      <name val="Arial"/>
      <family val="2"/>
      <charset val="1"/>
    </font>
    <font>
      <b/>
      <sz val="8.5"/>
      <color rgb="FF021859"/>
      <name val="Arial"/>
      <family val="2"/>
      <charset val="1"/>
    </font>
    <font>
      <sz val="8.5"/>
      <color rgb="FF0000FF"/>
      <name val="Arial"/>
      <family val="2"/>
    </font>
    <font>
      <b/>
      <sz val="8.5"/>
      <color rgb="FF0000FF"/>
      <name val="Arial"/>
      <family val="2"/>
      <charset val="1"/>
    </font>
    <font>
      <sz val="8.5"/>
      <name val="Arial"/>
      <family val="2"/>
      <charset val="1"/>
    </font>
    <font>
      <b/>
      <sz val="8.5"/>
      <color rgb="FF000000"/>
      <name val="Arial"/>
      <family val="2"/>
      <charset val="1"/>
    </font>
    <font>
      <b/>
      <sz val="8.5"/>
      <color rgb="FF3C7D22"/>
      <name val="Arial"/>
      <family val="2"/>
      <charset val="1"/>
    </font>
    <font>
      <b/>
      <sz val="8.5"/>
      <color rgb="FFFF0000"/>
      <name val="Arial"/>
      <family val="2"/>
      <charset val="1"/>
    </font>
    <font>
      <b/>
      <sz val="8.5"/>
      <color rgb="FF023059"/>
      <name val="Arial"/>
      <family val="2"/>
      <charset val="1"/>
    </font>
    <font>
      <sz val="8"/>
      <color rgb="FFFFFFFF"/>
      <name val="Arial"/>
      <family val="2"/>
      <charset val="1"/>
    </font>
    <font>
      <sz val="8"/>
      <color theme="1"/>
      <name val="Calibri"/>
      <family val="2"/>
      <charset val="1"/>
    </font>
    <font>
      <b/>
      <sz val="8"/>
      <color rgb="FFFFFFFF"/>
      <name val="Arial"/>
      <family val="2"/>
    </font>
    <font>
      <b/>
      <sz val="8"/>
      <name val="Arial"/>
      <family val="2"/>
      <charset val="1"/>
    </font>
    <font>
      <b/>
      <sz val="8"/>
      <color rgb="FF0000FF"/>
      <name val="Arial"/>
      <family val="2"/>
      <charset val="1"/>
    </font>
    <font>
      <sz val="8"/>
      <name val="Arial"/>
      <family val="2"/>
      <charset val="1"/>
    </font>
    <font>
      <sz val="8"/>
      <color rgb="FF0000FF"/>
      <name val="Arial"/>
      <family val="2"/>
      <charset val="1"/>
    </font>
    <font>
      <b/>
      <sz val="8.5"/>
      <color theme="1"/>
      <name val="Arial"/>
      <family val="2"/>
      <charset val="1"/>
    </font>
    <font>
      <b/>
      <sz val="8"/>
      <color theme="1"/>
      <name val="Arial"/>
      <family val="2"/>
      <charset val="1"/>
    </font>
    <font>
      <b/>
      <sz val="8"/>
      <color rgb="FF000000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8"/>
      <color rgb="FFFFFFFF"/>
      <name val="Arial"/>
      <family val="2"/>
      <charset val="1"/>
    </font>
    <font>
      <sz val="8"/>
      <color rgb="FF0000FF"/>
      <name val="Arial"/>
      <family val="2"/>
    </font>
    <font>
      <b/>
      <sz val="11"/>
      <color theme="1"/>
      <name val="Arial"/>
      <family val="2"/>
      <charset val="1"/>
    </font>
    <font>
      <i/>
      <sz val="8"/>
      <color rgb="FF5D768C"/>
      <name val="Arial"/>
      <family val="2"/>
      <charset val="1"/>
    </font>
    <font>
      <b/>
      <sz val="8"/>
      <color theme="3"/>
      <name val="Arial"/>
      <family val="2"/>
      <charset val="1"/>
    </font>
    <font>
      <b/>
      <sz val="8"/>
      <color rgb="FF3C7D22"/>
      <name val="Arial"/>
      <family val="2"/>
    </font>
    <font>
      <sz val="8"/>
      <color theme="3"/>
      <name val="Arial"/>
      <family val="2"/>
      <charset val="1"/>
    </font>
    <font>
      <i/>
      <sz val="7.5"/>
      <color theme="3"/>
      <name val="Arial"/>
      <family val="2"/>
      <charset val="1"/>
    </font>
    <font>
      <i/>
      <sz val="7.5"/>
      <color rgb="FF5D768C"/>
      <name val="Arial"/>
      <family val="2"/>
    </font>
    <font>
      <b/>
      <sz val="8"/>
      <color rgb="FF000000"/>
      <name val="Arial"/>
      <family val="2"/>
    </font>
    <font>
      <i/>
      <sz val="7.5"/>
      <color rgb="FF888888"/>
      <name val="Arial"/>
      <family val="2"/>
      <charset val="1"/>
    </font>
    <font>
      <b/>
      <sz val="8"/>
      <color rgb="FF0000FF"/>
      <name val="Arial"/>
      <family val="2"/>
    </font>
    <font>
      <sz val="8"/>
      <color theme="1"/>
      <name val="Arial"/>
      <family val="2"/>
      <charset val="1"/>
    </font>
    <font>
      <sz val="11"/>
      <color theme="3"/>
      <name val="Calibri"/>
      <family val="2"/>
      <charset val="1"/>
    </font>
    <font>
      <sz val="8"/>
      <color rgb="FF3C7D22"/>
      <name val="Arial"/>
      <family val="2"/>
    </font>
    <font>
      <sz val="8"/>
      <color rgb="FF3C7D22"/>
      <name val="Arial"/>
      <family val="2"/>
      <charset val="1"/>
    </font>
    <font>
      <sz val="8"/>
      <color rgb="FF000000"/>
      <name val="Arial"/>
      <family val="2"/>
      <charset val="1"/>
    </font>
    <font>
      <sz val="8"/>
      <color rgb="FF000000"/>
      <name val="Arial"/>
      <family val="2"/>
    </font>
    <font>
      <i/>
      <sz val="7.5"/>
      <color rgb="FF5D768C"/>
      <name val="Arial"/>
      <family val="2"/>
      <charset val="1"/>
    </font>
    <font>
      <b/>
      <sz val="8"/>
      <color rgb="FF3C7D22"/>
      <name val="Arial"/>
      <family val="2"/>
      <charset val="1"/>
    </font>
    <font>
      <sz val="8"/>
      <color rgb="FF5D768C"/>
      <name val="Arial"/>
      <family val="2"/>
      <charset val="1"/>
    </font>
    <font>
      <b/>
      <sz val="8"/>
      <name val="Arial"/>
      <family val="2"/>
    </font>
    <font>
      <b/>
      <sz val="8"/>
      <color theme="3"/>
      <name val="Arial"/>
      <family val="2"/>
    </font>
    <font>
      <sz val="8"/>
      <color theme="3"/>
      <name val="Arial"/>
      <family val="2"/>
    </font>
    <font>
      <sz val="8"/>
      <color theme="1" tint="0.249977111117893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011140"/>
        <bgColor rgb="FF021859"/>
      </patternFill>
    </fill>
    <fill>
      <patternFill patternType="solid">
        <fgColor rgb="FF021859"/>
        <bgColor rgb="FF011140"/>
      </patternFill>
    </fill>
    <fill>
      <patternFill patternType="solid">
        <fgColor rgb="FF023059"/>
        <bgColor rgb="FF021859"/>
      </patternFill>
    </fill>
    <fill>
      <patternFill patternType="solid">
        <fgColor rgb="FFFFFFFF"/>
        <bgColor rgb="FFF4F4F4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rgb="FF375623"/>
        <bgColor rgb="FF333300"/>
      </patternFill>
    </fill>
    <fill>
      <patternFill patternType="solid">
        <fgColor theme="0" tint="-4.9989318521683403E-2"/>
        <bgColor rgb="FFF4F4F4"/>
      </patternFill>
    </fill>
    <fill>
      <patternFill patternType="solid">
        <fgColor rgb="FFFF0000"/>
        <bgColor rgb="FF993300"/>
      </patternFill>
    </fill>
    <fill>
      <patternFill patternType="solid">
        <fgColor rgb="FFE2EFDA"/>
        <bgColor rgb="FFF2F2F2"/>
      </patternFill>
    </fill>
    <fill>
      <patternFill patternType="solid">
        <fgColor rgb="FFF4F4F4"/>
        <bgColor rgb="FFF2F2F2"/>
      </patternFill>
    </fill>
    <fill>
      <patternFill patternType="solid">
        <fgColor rgb="FF92D050"/>
        <bgColor rgb="FF969696"/>
      </patternFill>
    </fill>
    <fill>
      <patternFill patternType="solid">
        <fgColor rgb="FFEEF5FC"/>
        <bgColor rgb="FFF4F4F4"/>
      </patternFill>
    </fill>
    <fill>
      <patternFill patternType="solid">
        <fgColor rgb="FF2E75B6"/>
        <bgColor rgb="FF0066CC"/>
      </patternFill>
    </fill>
    <fill>
      <patternFill patternType="solid">
        <fgColor rgb="FF1A9E70"/>
        <bgColor rgb="FF008080"/>
      </patternFill>
    </fill>
    <fill>
      <patternFill patternType="solid">
        <fgColor rgb="FF5D768C"/>
        <bgColor rgb="FF888888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4F4F4"/>
      </patternFill>
    </fill>
    <fill>
      <patternFill patternType="solid">
        <fgColor theme="0"/>
        <bgColor rgb="FFFFFF00"/>
      </patternFill>
    </fill>
    <fill>
      <patternFill patternType="solid">
        <fgColor theme="2" tint="-9.9978637043366805E-2"/>
        <bgColor rgb="FFFFFF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rgb="FF333300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DDD9C3"/>
      </patternFill>
    </fill>
    <fill>
      <patternFill patternType="solid">
        <fgColor theme="0" tint="-4.9989318521683403E-2"/>
        <bgColor rgb="FFDDD9C3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9.9978637043366805E-2"/>
        <bgColor rgb="FFF4F4F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rgb="FFFF9900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26" fillId="0" borderId="1" xfId="0" applyFont="1" applyBorder="1" applyAlignment="1">
      <alignment horizontal="left" vertical="center" indent="1"/>
    </xf>
    <xf numFmtId="0" fontId="23" fillId="4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3" fillId="0" borderId="1" xfId="0" applyFont="1" applyBorder="1"/>
    <xf numFmtId="0" fontId="14" fillId="3" borderId="2" xfId="0" applyFont="1" applyFill="1" applyBorder="1" applyAlignment="1">
      <alignment horizontal="center"/>
    </xf>
    <xf numFmtId="0" fontId="15" fillId="0" borderId="1" xfId="0" applyFont="1" applyBorder="1" applyAlignment="1">
      <alignment horizontal="left" vertical="center"/>
    </xf>
    <xf numFmtId="164" fontId="16" fillId="0" borderId="1" xfId="0" applyNumberFormat="1" applyFont="1" applyBorder="1" applyAlignment="1">
      <alignment horizontal="right" vertical="center"/>
    </xf>
    <xf numFmtId="0" fontId="17" fillId="0" borderId="1" xfId="0" applyFont="1" applyBorder="1" applyAlignment="1">
      <alignment horizontal="left" vertical="center" indent="1"/>
    </xf>
    <xf numFmtId="164" fontId="18" fillId="0" borderId="1" xfId="0" applyNumberFormat="1" applyFont="1" applyBorder="1" applyAlignment="1">
      <alignment horizontal="right" vertical="center"/>
    </xf>
    <xf numFmtId="0" fontId="19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0" fillId="5" borderId="1" xfId="0" applyFill="1" applyBorder="1"/>
    <xf numFmtId="0" fontId="15" fillId="8" borderId="1" xfId="0" applyFont="1" applyFill="1" applyBorder="1" applyAlignment="1">
      <alignment horizontal="left" vertical="center"/>
    </xf>
    <xf numFmtId="164" fontId="16" fillId="8" borderId="1" xfId="0" applyNumberFormat="1" applyFont="1" applyFill="1" applyBorder="1" applyAlignment="1">
      <alignment horizontal="right" vertical="center"/>
    </xf>
    <xf numFmtId="0" fontId="0" fillId="8" borderId="1" xfId="0" applyFill="1" applyBorder="1"/>
    <xf numFmtId="0" fontId="20" fillId="8" borderId="1" xfId="0" applyFont="1" applyFill="1" applyBorder="1" applyAlignment="1">
      <alignment horizontal="left" vertical="center"/>
    </xf>
    <xf numFmtId="164" fontId="20" fillId="8" borderId="1" xfId="0" applyNumberFormat="1" applyFont="1" applyFill="1" applyBorder="1" applyAlignment="1">
      <alignment horizontal="right" vertical="center"/>
    </xf>
    <xf numFmtId="164" fontId="21" fillId="8" borderId="1" xfId="0" applyNumberFormat="1" applyFont="1" applyFill="1" applyBorder="1" applyAlignment="1">
      <alignment horizontal="right" vertical="center"/>
    </xf>
    <xf numFmtId="0" fontId="15" fillId="5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 indent="1"/>
    </xf>
    <xf numFmtId="0" fontId="17" fillId="0" borderId="1" xfId="0" applyFont="1" applyBorder="1" applyAlignment="1">
      <alignment horizontal="left" vertical="center"/>
    </xf>
    <xf numFmtId="0" fontId="23" fillId="6" borderId="1" xfId="0" applyFont="1" applyFill="1" applyBorder="1" applyAlignment="1">
      <alignment horizontal="center" vertical="center"/>
    </xf>
    <xf numFmtId="164" fontId="18" fillId="6" borderId="1" xfId="0" applyNumberFormat="1" applyFont="1" applyFill="1" applyBorder="1" applyAlignment="1">
      <alignment horizontal="right" vertical="center"/>
    </xf>
    <xf numFmtId="166" fontId="18" fillId="6" borderId="1" xfId="0" applyNumberFormat="1" applyFont="1" applyFill="1" applyBorder="1" applyAlignment="1">
      <alignment horizontal="right" vertical="center"/>
    </xf>
    <xf numFmtId="167" fontId="25" fillId="0" borderId="1" xfId="0" applyNumberFormat="1" applyFont="1" applyBorder="1"/>
    <xf numFmtId="167" fontId="14" fillId="3" borderId="2" xfId="0" applyNumberFormat="1" applyFont="1" applyFill="1" applyBorder="1" applyAlignment="1">
      <alignment horizontal="center"/>
    </xf>
    <xf numFmtId="0" fontId="23" fillId="7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left" vertical="center" indent="1"/>
    </xf>
    <xf numFmtId="0" fontId="26" fillId="8" borderId="1" xfId="0" applyFont="1" applyFill="1" applyBorder="1" applyAlignment="1">
      <alignment horizontal="left" vertical="center"/>
    </xf>
    <xf numFmtId="164" fontId="27" fillId="8" borderId="1" xfId="0" applyNumberFormat="1" applyFont="1" applyFill="1" applyBorder="1" applyAlignment="1">
      <alignment horizontal="right" vertical="center"/>
    </xf>
    <xf numFmtId="167" fontId="27" fillId="8" borderId="1" xfId="0" applyNumberFormat="1" applyFont="1" applyFill="1" applyBorder="1" applyAlignment="1">
      <alignment horizontal="right" vertical="center"/>
    </xf>
    <xf numFmtId="164" fontId="28" fillId="10" borderId="2" xfId="0" applyNumberFormat="1" applyFont="1" applyFill="1" applyBorder="1" applyAlignment="1">
      <alignment horizontal="right"/>
    </xf>
    <xf numFmtId="0" fontId="26" fillId="0" borderId="1" xfId="0" applyFont="1" applyBorder="1" applyAlignment="1">
      <alignment horizontal="left" vertical="center" indent="2"/>
    </xf>
    <xf numFmtId="0" fontId="29" fillId="5" borderId="1" xfId="0" applyFont="1" applyFill="1" applyBorder="1" applyAlignment="1">
      <alignment horizontal="right" vertical="center"/>
    </xf>
    <xf numFmtId="9" fontId="30" fillId="5" borderId="1" xfId="0" applyNumberFormat="1" applyFont="1" applyFill="1" applyBorder="1" applyAlignment="1">
      <alignment horizontal="right" vertical="center"/>
    </xf>
    <xf numFmtId="165" fontId="30" fillId="5" borderId="1" xfId="0" applyNumberFormat="1" applyFont="1" applyFill="1" applyBorder="1" applyAlignment="1">
      <alignment horizontal="right" vertical="center"/>
    </xf>
    <xf numFmtId="9" fontId="29" fillId="5" borderId="1" xfId="0" applyNumberFormat="1" applyFont="1" applyFill="1" applyBorder="1" applyAlignment="1">
      <alignment horizontal="right" vertical="center"/>
    </xf>
    <xf numFmtId="0" fontId="26" fillId="0" borderId="1" xfId="0" applyFont="1" applyBorder="1" applyAlignment="1">
      <alignment horizontal="left" vertical="center"/>
    </xf>
    <xf numFmtId="164" fontId="31" fillId="10" borderId="2" xfId="0" applyNumberFormat="1" applyFont="1" applyFill="1" applyBorder="1" applyAlignment="1">
      <alignment horizontal="right"/>
    </xf>
    <xf numFmtId="164" fontId="32" fillId="10" borderId="2" xfId="0" applyNumberFormat="1" applyFont="1" applyFill="1" applyBorder="1" applyAlignment="1">
      <alignment horizontal="right"/>
    </xf>
    <xf numFmtId="0" fontId="31" fillId="0" borderId="2" xfId="0" applyFont="1" applyBorder="1" applyAlignment="1">
      <alignment horizontal="center"/>
    </xf>
    <xf numFmtId="165" fontId="31" fillId="11" borderId="2" xfId="0" applyNumberFormat="1" applyFont="1" applyFill="1" applyBorder="1" applyAlignment="1">
      <alignment horizontal="right" vertical="center"/>
    </xf>
    <xf numFmtId="165" fontId="33" fillId="5" borderId="1" xfId="0" applyNumberFormat="1" applyFont="1" applyFill="1" applyBorder="1" applyAlignment="1">
      <alignment horizontal="right" vertical="center"/>
    </xf>
    <xf numFmtId="167" fontId="27" fillId="0" borderId="1" xfId="0" applyNumberFormat="1" applyFont="1" applyBorder="1" applyAlignment="1">
      <alignment horizontal="right"/>
    </xf>
    <xf numFmtId="164" fontId="24" fillId="0" borderId="2" xfId="0" applyNumberFormat="1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8" borderId="1" xfId="0" applyFill="1" applyBorder="1" applyAlignment="1">
      <alignment horizontal="right"/>
    </xf>
    <xf numFmtId="167" fontId="20" fillId="0" borderId="1" xfId="0" applyNumberFormat="1" applyFont="1" applyBorder="1" applyAlignment="1">
      <alignment horizontal="right"/>
    </xf>
    <xf numFmtId="0" fontId="35" fillId="0" borderId="1" xfId="0" applyFont="1" applyBorder="1"/>
    <xf numFmtId="0" fontId="23" fillId="12" borderId="1" xfId="0" applyFont="1" applyFill="1" applyBorder="1" applyAlignment="1">
      <alignment horizontal="center" vertical="center"/>
    </xf>
    <xf numFmtId="164" fontId="27" fillId="0" borderId="1" xfId="0" applyNumberFormat="1" applyFont="1" applyBorder="1" applyAlignment="1">
      <alignment horizontal="right" vertical="center"/>
    </xf>
    <xf numFmtId="0" fontId="36" fillId="0" borderId="1" xfId="0" applyFont="1" applyBorder="1"/>
    <xf numFmtId="0" fontId="15" fillId="5" borderId="1" xfId="0" applyFont="1" applyFill="1" applyBorder="1" applyAlignment="1">
      <alignment horizontal="left" vertical="center" indent="1"/>
    </xf>
    <xf numFmtId="164" fontId="21" fillId="5" borderId="1" xfId="0" applyNumberFormat="1" applyFont="1" applyFill="1" applyBorder="1" applyAlignment="1">
      <alignment horizontal="right" vertical="center"/>
    </xf>
    <xf numFmtId="164" fontId="21" fillId="0" borderId="1" xfId="0" applyNumberFormat="1" applyFont="1" applyBorder="1" applyAlignment="1">
      <alignment horizontal="right" vertical="center"/>
    </xf>
    <xf numFmtId="164" fontId="38" fillId="0" borderId="1" xfId="0" applyNumberFormat="1" applyFont="1" applyBorder="1" applyAlignment="1">
      <alignment horizontal="right" vertical="center"/>
    </xf>
    <xf numFmtId="165" fontId="39" fillId="13" borderId="1" xfId="0" applyNumberFormat="1" applyFont="1" applyFill="1" applyBorder="1" applyAlignment="1">
      <alignment horizontal="right" vertical="center"/>
    </xf>
    <xf numFmtId="0" fontId="17" fillId="5" borderId="1" xfId="0" applyFont="1" applyFill="1" applyBorder="1" applyAlignment="1">
      <alignment horizontal="left" vertical="center" indent="2"/>
    </xf>
    <xf numFmtId="0" fontId="13" fillId="5" borderId="1" xfId="0" applyFont="1" applyFill="1" applyBorder="1"/>
    <xf numFmtId="0" fontId="26" fillId="5" borderId="1" xfId="0" applyFont="1" applyFill="1" applyBorder="1" applyAlignment="1">
      <alignment horizontal="left" vertical="center" indent="2"/>
    </xf>
    <xf numFmtId="164" fontId="39" fillId="5" borderId="1" xfId="0" applyNumberFormat="1" applyFont="1" applyFill="1" applyBorder="1" applyAlignment="1">
      <alignment horizontal="right" vertical="center"/>
    </xf>
    <xf numFmtId="164" fontId="21" fillId="10" borderId="1" xfId="0" applyNumberFormat="1" applyFont="1" applyFill="1" applyBorder="1" applyAlignment="1">
      <alignment horizontal="right" vertical="center"/>
    </xf>
    <xf numFmtId="164" fontId="39" fillId="0" borderId="1" xfId="0" applyNumberFormat="1" applyFont="1" applyBorder="1" applyAlignment="1">
      <alignment horizontal="right" vertical="center"/>
    </xf>
    <xf numFmtId="0" fontId="17" fillId="0" borderId="1" xfId="0" applyFont="1" applyBorder="1" applyAlignment="1">
      <alignment horizontal="left" vertical="center" indent="2"/>
    </xf>
    <xf numFmtId="0" fontId="41" fillId="0" borderId="1" xfId="0" applyFont="1" applyBorder="1" applyAlignment="1">
      <alignment horizontal="left" vertical="center" indent="2"/>
    </xf>
    <xf numFmtId="164" fontId="42" fillId="0" borderId="1" xfId="0" applyNumberFormat="1" applyFont="1" applyBorder="1" applyAlignment="1">
      <alignment horizontal="right" vertical="center"/>
    </xf>
    <xf numFmtId="168" fontId="39" fillId="0" borderId="1" xfId="0" applyNumberFormat="1" applyFont="1" applyBorder="1" applyAlignment="1">
      <alignment horizontal="right" vertical="center"/>
    </xf>
    <xf numFmtId="0" fontId="0" fillId="17" borderId="1" xfId="0" applyFill="1" applyBorder="1"/>
    <xf numFmtId="0" fontId="3" fillId="17" borderId="1" xfId="0" applyFont="1" applyFill="1" applyBorder="1" applyAlignment="1">
      <alignment horizontal="left" vertical="center"/>
    </xf>
    <xf numFmtId="0" fontId="0" fillId="18" borderId="1" xfId="0" applyFill="1" applyBorder="1"/>
    <xf numFmtId="0" fontId="0" fillId="19" borderId="1" xfId="0" applyFill="1" applyBorder="1"/>
    <xf numFmtId="0" fontId="22" fillId="19" borderId="1" xfId="0" applyFont="1" applyFill="1" applyBorder="1"/>
    <xf numFmtId="0" fontId="22" fillId="17" borderId="1" xfId="0" applyFont="1" applyFill="1" applyBorder="1"/>
    <xf numFmtId="0" fontId="17" fillId="18" borderId="1" xfId="0" applyFont="1" applyFill="1" applyBorder="1" applyAlignment="1">
      <alignment horizontal="left" vertical="center" indent="1"/>
    </xf>
    <xf numFmtId="0" fontId="15" fillId="19" borderId="1" xfId="0" applyFont="1" applyFill="1" applyBorder="1" applyAlignment="1">
      <alignment horizontal="left" vertical="center"/>
    </xf>
    <xf numFmtId="0" fontId="14" fillId="23" borderId="2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4" fillId="23" borderId="1" xfId="0" applyFont="1" applyFill="1" applyBorder="1" applyAlignment="1">
      <alignment horizontal="center"/>
    </xf>
    <xf numFmtId="165" fontId="24" fillId="21" borderId="1" xfId="0" applyNumberFormat="1" applyFont="1" applyFill="1" applyBorder="1" applyAlignment="1">
      <alignment horizontal="right"/>
    </xf>
    <xf numFmtId="166" fontId="24" fillId="21" borderId="1" xfId="0" applyNumberFormat="1" applyFont="1" applyFill="1" applyBorder="1" applyAlignment="1">
      <alignment horizontal="right"/>
    </xf>
    <xf numFmtId="164" fontId="24" fillId="21" borderId="1" xfId="0" applyNumberFormat="1" applyFont="1" applyFill="1" applyBorder="1" applyAlignment="1">
      <alignment horizontal="right"/>
    </xf>
    <xf numFmtId="0" fontId="5" fillId="21" borderId="1" xfId="0" applyFont="1" applyFill="1" applyBorder="1" applyAlignment="1">
      <alignment horizontal="left" vertical="center"/>
    </xf>
    <xf numFmtId="0" fontId="6" fillId="21" borderId="1" xfId="0" applyFont="1" applyFill="1" applyBorder="1" applyAlignment="1">
      <alignment horizontal="left" vertical="center"/>
    </xf>
    <xf numFmtId="164" fontId="44" fillId="10" borderId="2" xfId="0" applyNumberFormat="1" applyFont="1" applyFill="1" applyBorder="1" applyAlignment="1">
      <alignment horizontal="right"/>
    </xf>
    <xf numFmtId="0" fontId="14" fillId="7" borderId="1" xfId="0" applyFont="1" applyFill="1" applyBorder="1" applyAlignment="1">
      <alignment horizontal="center"/>
    </xf>
    <xf numFmtId="164" fontId="28" fillId="0" borderId="1" xfId="0" applyNumberFormat="1" applyFont="1" applyBorder="1" applyAlignment="1">
      <alignment horizontal="right"/>
    </xf>
    <xf numFmtId="165" fontId="37" fillId="21" borderId="1" xfId="0" applyNumberFormat="1" applyFont="1" applyFill="1" applyBorder="1" applyAlignment="1">
      <alignment horizontal="right"/>
    </xf>
    <xf numFmtId="164" fontId="32" fillId="0" borderId="1" xfId="0" applyNumberFormat="1" applyFont="1" applyBorder="1" applyAlignment="1">
      <alignment horizontal="right"/>
    </xf>
    <xf numFmtId="164" fontId="32" fillId="5" borderId="1" xfId="0" applyNumberFormat="1" applyFont="1" applyFill="1" applyBorder="1" applyAlignment="1">
      <alignment horizontal="right"/>
    </xf>
    <xf numFmtId="164" fontId="32" fillId="24" borderId="1" xfId="0" applyNumberFormat="1" applyFont="1" applyFill="1" applyBorder="1" applyAlignment="1">
      <alignment horizontal="right"/>
    </xf>
    <xf numFmtId="165" fontId="31" fillId="11" borderId="1" xfId="0" applyNumberFormat="1" applyFont="1" applyFill="1" applyBorder="1" applyAlignment="1">
      <alignment horizontal="right"/>
    </xf>
    <xf numFmtId="164" fontId="24" fillId="0" borderId="1" xfId="0" applyNumberFormat="1" applyFont="1" applyBorder="1" applyAlignment="1">
      <alignment horizontal="right"/>
    </xf>
    <xf numFmtId="164" fontId="32" fillId="10" borderId="1" xfId="0" applyNumberFormat="1" applyFont="1" applyFill="1" applyBorder="1" applyAlignment="1">
      <alignment horizontal="right"/>
    </xf>
    <xf numFmtId="0" fontId="36" fillId="18" borderId="1" xfId="0" applyFont="1" applyFill="1" applyBorder="1"/>
    <xf numFmtId="0" fontId="0" fillId="25" borderId="1" xfId="0" applyFill="1" applyBorder="1"/>
    <xf numFmtId="164" fontId="24" fillId="19" borderId="1" xfId="0" applyNumberFormat="1" applyFont="1" applyFill="1" applyBorder="1" applyAlignment="1">
      <alignment horizontal="right"/>
    </xf>
    <xf numFmtId="164" fontId="21" fillId="19" borderId="1" xfId="0" applyNumberFormat="1" applyFont="1" applyFill="1" applyBorder="1" applyAlignment="1">
      <alignment horizontal="right" vertical="center"/>
    </xf>
    <xf numFmtId="165" fontId="38" fillId="25" borderId="1" xfId="0" applyNumberFormat="1" applyFont="1" applyFill="1" applyBorder="1" applyAlignment="1">
      <alignment horizontal="right" vertical="center"/>
    </xf>
    <xf numFmtId="165" fontId="39" fillId="19" borderId="1" xfId="0" applyNumberFormat="1" applyFont="1" applyFill="1" applyBorder="1" applyAlignment="1">
      <alignment horizontal="right" vertical="center"/>
    </xf>
    <xf numFmtId="0" fontId="27" fillId="18" borderId="1" xfId="0" applyFont="1" applyFill="1" applyBorder="1" applyAlignment="1">
      <alignment horizontal="left" vertical="center" indent="1"/>
    </xf>
    <xf numFmtId="0" fontId="26" fillId="25" borderId="1" xfId="0" applyFont="1" applyFill="1" applyBorder="1" applyAlignment="1">
      <alignment horizontal="left" vertical="center" indent="2"/>
    </xf>
    <xf numFmtId="0" fontId="15" fillId="19" borderId="1" xfId="0" applyFont="1" applyFill="1" applyBorder="1" applyAlignment="1">
      <alignment horizontal="left" vertical="center" indent="1"/>
    </xf>
    <xf numFmtId="0" fontId="15" fillId="18" borderId="1" xfId="0" applyFont="1" applyFill="1" applyBorder="1" applyAlignment="1">
      <alignment horizontal="left" vertical="center" indent="1"/>
    </xf>
    <xf numFmtId="0" fontId="26" fillId="18" borderId="1" xfId="0" applyFont="1" applyFill="1" applyBorder="1" applyAlignment="1">
      <alignment horizontal="left" vertical="center" indent="2"/>
    </xf>
    <xf numFmtId="0" fontId="26" fillId="26" borderId="1" xfId="0" applyFont="1" applyFill="1" applyBorder="1" applyAlignment="1">
      <alignment horizontal="left" vertical="center" indent="2"/>
    </xf>
    <xf numFmtId="165" fontId="31" fillId="27" borderId="1" xfId="0" applyNumberFormat="1" applyFont="1" applyFill="1" applyBorder="1" applyAlignment="1">
      <alignment horizontal="right"/>
    </xf>
    <xf numFmtId="165" fontId="39" fillId="26" borderId="1" xfId="0" applyNumberFormat="1" applyFont="1" applyFill="1" applyBorder="1" applyAlignment="1">
      <alignment horizontal="right" vertical="center"/>
    </xf>
    <xf numFmtId="164" fontId="45" fillId="0" borderId="1" xfId="0" applyNumberFormat="1" applyFont="1" applyBorder="1" applyAlignment="1">
      <alignment horizontal="right"/>
    </xf>
    <xf numFmtId="165" fontId="46" fillId="25" borderId="1" xfId="0" applyNumberFormat="1" applyFont="1" applyFill="1" applyBorder="1" applyAlignment="1">
      <alignment horizontal="right"/>
    </xf>
    <xf numFmtId="165" fontId="46" fillId="18" borderId="1" xfId="0" applyNumberFormat="1" applyFont="1" applyFill="1" applyBorder="1" applyAlignment="1">
      <alignment horizontal="right"/>
    </xf>
    <xf numFmtId="164" fontId="46" fillId="0" borderId="1" xfId="0" applyNumberFormat="1" applyFont="1" applyBorder="1" applyAlignment="1">
      <alignment horizontal="right"/>
    </xf>
    <xf numFmtId="164" fontId="32" fillId="27" borderId="1" xfId="0" applyNumberFormat="1" applyFont="1" applyFill="1" applyBorder="1" applyAlignment="1">
      <alignment horizontal="right"/>
    </xf>
    <xf numFmtId="164" fontId="37" fillId="22" borderId="1" xfId="0" applyNumberFormat="1" applyFont="1" applyFill="1" applyBorder="1" applyAlignment="1">
      <alignment horizontal="right"/>
    </xf>
    <xf numFmtId="166" fontId="46" fillId="5" borderId="1" xfId="0" applyNumberFormat="1" applyFont="1" applyFill="1" applyBorder="1" applyAlignment="1">
      <alignment horizontal="right"/>
    </xf>
    <xf numFmtId="166" fontId="37" fillId="21" borderId="1" xfId="0" applyNumberFormat="1" applyFont="1" applyFill="1" applyBorder="1" applyAlignment="1">
      <alignment horizontal="right"/>
    </xf>
    <xf numFmtId="0" fontId="31" fillId="0" borderId="1" xfId="0" applyFont="1" applyBorder="1" applyAlignment="1">
      <alignment horizontal="center"/>
    </xf>
    <xf numFmtId="164" fontId="31" fillId="11" borderId="1" xfId="0" applyNumberFormat="1" applyFont="1" applyFill="1" applyBorder="1" applyAlignment="1">
      <alignment horizontal="center" vertical="center"/>
    </xf>
    <xf numFmtId="164" fontId="31" fillId="11" borderId="1" xfId="0" applyNumberFormat="1" applyFont="1" applyFill="1" applyBorder="1" applyAlignment="1">
      <alignment horizontal="right" vertical="center"/>
    </xf>
    <xf numFmtId="0" fontId="0" fillId="28" borderId="1" xfId="0" applyFill="1" applyBorder="1"/>
    <xf numFmtId="166" fontId="38" fillId="29" borderId="1" xfId="0" applyNumberFormat="1" applyFont="1" applyFill="1" applyBorder="1" applyAlignment="1">
      <alignment horizontal="right" vertical="center"/>
    </xf>
    <xf numFmtId="164" fontId="45" fillId="5" borderId="1" xfId="0" applyNumberFormat="1" applyFont="1" applyFill="1" applyBorder="1" applyAlignment="1">
      <alignment horizontal="right"/>
    </xf>
    <xf numFmtId="0" fontId="22" fillId="0" borderId="1" xfId="0" applyFont="1" applyBorder="1"/>
    <xf numFmtId="164" fontId="40" fillId="10" borderId="1" xfId="0" applyNumberFormat="1" applyFont="1" applyFill="1" applyBorder="1" applyAlignment="1">
      <alignment horizontal="right"/>
    </xf>
    <xf numFmtId="0" fontId="0" fillId="5" borderId="1" xfId="0" applyFont="1" applyFill="1" applyBorder="1"/>
    <xf numFmtId="0" fontId="0" fillId="0" borderId="1" xfId="0" applyFont="1" applyBorder="1"/>
    <xf numFmtId="164" fontId="37" fillId="0" borderId="1" xfId="0" applyNumberFormat="1" applyFont="1" applyBorder="1" applyAlignment="1">
      <alignment horizontal="right"/>
    </xf>
    <xf numFmtId="164" fontId="34" fillId="10" borderId="1" xfId="0" applyNumberFormat="1" applyFont="1" applyFill="1" applyBorder="1" applyAlignment="1">
      <alignment horizontal="right"/>
    </xf>
    <xf numFmtId="164" fontId="40" fillId="0" borderId="1" xfId="0" applyNumberFormat="1" applyFont="1" applyBorder="1" applyAlignment="1">
      <alignment horizontal="right"/>
    </xf>
    <xf numFmtId="0" fontId="23" fillId="23" borderId="1" xfId="0" applyFont="1" applyFill="1" applyBorder="1" applyAlignment="1">
      <alignment horizontal="center" vertical="center"/>
    </xf>
    <xf numFmtId="165" fontId="46" fillId="0" borderId="1" xfId="0" applyNumberFormat="1" applyFont="1" applyBorder="1" applyAlignment="1">
      <alignment horizontal="right"/>
    </xf>
    <xf numFmtId="164" fontId="45" fillId="10" borderId="1" xfId="0" applyNumberFormat="1" applyFont="1" applyFill="1" applyBorder="1" applyAlignment="1">
      <alignment horizontal="right"/>
    </xf>
    <xf numFmtId="164" fontId="32" fillId="0" borderId="1" xfId="0" applyNumberFormat="1" applyFont="1" applyBorder="1" applyAlignment="1">
      <alignment horizontal="right" vertical="center"/>
    </xf>
    <xf numFmtId="164" fontId="28" fillId="0" borderId="1" xfId="0" applyNumberFormat="1" applyFont="1" applyBorder="1" applyAlignment="1">
      <alignment horizontal="right" vertical="center"/>
    </xf>
    <xf numFmtId="165" fontId="38" fillId="21" borderId="1" xfId="0" applyNumberFormat="1" applyFont="1" applyFill="1" applyBorder="1" applyAlignment="1">
      <alignment horizontal="right" vertical="center"/>
    </xf>
    <xf numFmtId="164" fontId="40" fillId="24" borderId="1" xfId="0" applyNumberFormat="1" applyFont="1" applyFill="1" applyBorder="1" applyAlignment="1">
      <alignment horizontal="right"/>
    </xf>
    <xf numFmtId="164" fontId="28" fillId="22" borderId="1" xfId="0" applyNumberFormat="1" applyFont="1" applyFill="1" applyBorder="1" applyAlignment="1">
      <alignment horizontal="right"/>
    </xf>
    <xf numFmtId="164" fontId="47" fillId="0" borderId="1" xfId="0" applyNumberFormat="1" applyFont="1" applyBorder="1" applyAlignment="1">
      <alignment horizontal="right"/>
    </xf>
    <xf numFmtId="164" fontId="47" fillId="0" borderId="1" xfId="0" applyNumberFormat="1" applyFont="1" applyBorder="1" applyAlignment="1">
      <alignment horizontal="right" vertical="center"/>
    </xf>
    <xf numFmtId="164" fontId="38" fillId="21" borderId="1" xfId="0" applyNumberFormat="1" applyFont="1" applyFill="1" applyBorder="1" applyAlignment="1">
      <alignment horizontal="right" vertical="center"/>
    </xf>
    <xf numFmtId="165" fontId="31" fillId="11" borderId="1" xfId="0" applyNumberFormat="1" applyFont="1" applyFill="1" applyBorder="1" applyAlignment="1">
      <alignment horizontal="center" vertical="center"/>
    </xf>
    <xf numFmtId="165" fontId="31" fillId="11" borderId="1" xfId="0" applyNumberFormat="1" applyFont="1" applyFill="1" applyBorder="1" applyAlignment="1">
      <alignment horizontal="right" vertical="center"/>
    </xf>
    <xf numFmtId="164" fontId="28" fillId="10" borderId="1" xfId="0" applyNumberFormat="1" applyFont="1" applyFill="1" applyBorder="1" applyAlignment="1">
      <alignment horizontal="right"/>
    </xf>
    <xf numFmtId="166" fontId="40" fillId="0" borderId="1" xfId="0" applyNumberFormat="1" applyFont="1" applyBorder="1" applyAlignment="1">
      <alignment horizontal="right"/>
    </xf>
    <xf numFmtId="164" fontId="46" fillId="0" borderId="1" xfId="0" applyNumberFormat="1" applyFont="1" applyBorder="1" applyAlignment="1">
      <alignment horizontal="right" vertical="center"/>
    </xf>
    <xf numFmtId="0" fontId="15" fillId="30" borderId="1" xfId="0" applyFont="1" applyFill="1" applyBorder="1" applyAlignment="1">
      <alignment horizontal="left" vertical="center"/>
    </xf>
    <xf numFmtId="164" fontId="21" fillId="27" borderId="1" xfId="0" applyNumberFormat="1" applyFont="1" applyFill="1" applyBorder="1" applyAlignment="1">
      <alignment horizontal="right" vertical="center"/>
    </xf>
    <xf numFmtId="164" fontId="40" fillId="20" borderId="1" xfId="0" applyNumberFormat="1" applyFont="1" applyFill="1" applyBorder="1" applyAlignment="1">
      <alignment horizontal="right"/>
    </xf>
    <xf numFmtId="164" fontId="39" fillId="20" borderId="1" xfId="0" applyNumberFormat="1" applyFont="1" applyFill="1" applyBorder="1" applyAlignment="1">
      <alignment horizontal="right" vertical="center"/>
    </xf>
    <xf numFmtId="0" fontId="3" fillId="31" borderId="1" xfId="0" applyFont="1" applyFill="1" applyBorder="1" applyAlignment="1">
      <alignment horizontal="left" vertical="center"/>
    </xf>
    <xf numFmtId="164" fontId="45" fillId="27" borderId="1" xfId="0" applyNumberFormat="1" applyFont="1" applyFill="1" applyBorder="1" applyAlignment="1">
      <alignment horizontal="right"/>
    </xf>
    <xf numFmtId="165" fontId="40" fillId="13" borderId="1" xfId="0" applyNumberFormat="1" applyFont="1" applyFill="1" applyBorder="1" applyAlignment="1">
      <alignment horizontal="right"/>
    </xf>
    <xf numFmtId="169" fontId="40" fillId="11" borderId="1" xfId="0" applyNumberFormat="1" applyFont="1" applyFill="1" applyBorder="1" applyAlignment="1">
      <alignment horizontal="right"/>
    </xf>
    <xf numFmtId="166" fontId="39" fillId="0" borderId="1" xfId="0" applyNumberFormat="1" applyFont="1" applyBorder="1" applyAlignment="1">
      <alignment horizontal="right" vertical="center"/>
    </xf>
    <xf numFmtId="0" fontId="3" fillId="14" borderId="1" xfId="0" applyFont="1" applyFill="1" applyBorder="1" applyAlignment="1">
      <alignment horizontal="left" vertical="center"/>
    </xf>
    <xf numFmtId="166" fontId="40" fillId="11" borderId="1" xfId="0" applyNumberFormat="1" applyFont="1" applyFill="1" applyBorder="1" applyAlignment="1">
      <alignment horizontal="right"/>
    </xf>
    <xf numFmtId="164" fontId="40" fillId="11" borderId="1" xfId="0" applyNumberFormat="1" applyFont="1" applyFill="1" applyBorder="1" applyAlignment="1">
      <alignment horizontal="right"/>
    </xf>
    <xf numFmtId="169" fontId="39" fillId="0" borderId="1" xfId="0" applyNumberFormat="1" applyFont="1" applyBorder="1" applyAlignment="1">
      <alignment horizontal="right" vertical="center"/>
    </xf>
    <xf numFmtId="0" fontId="3" fillId="15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left" vertical="center"/>
    </xf>
    <xf numFmtId="0" fontId="4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C7D22"/>
      <rgbColor rgb="FF021859"/>
      <rgbColor rgb="FF808000"/>
      <rgbColor rgb="FF800080"/>
      <rgbColor rgb="FF008080"/>
      <rgbColor rgb="FFCCCCCC"/>
      <rgbColor rgb="FF888888"/>
      <rgbColor rgb="FF9999FF"/>
      <rgbColor rgb="FF993366"/>
      <rgbColor rgb="FFF4F4F4"/>
      <rgbColor rgb="FFEEF5FC"/>
      <rgbColor rgb="FF660066"/>
      <rgbColor rgb="FFFF8080"/>
      <rgbColor rgb="FF0066CC"/>
      <rgbColor rgb="FFD9D9D9"/>
      <rgbColor rgb="FF01114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DF963"/>
      <rgbColor rgb="FF99CCFF"/>
      <rgbColor rgb="FFFF99CC"/>
      <rgbColor rgb="FFCC99FF"/>
      <rgbColor rgb="FFDDD9C3"/>
      <rgbColor rgb="FF2E75B6"/>
      <rgbColor rgb="FF33CCCC"/>
      <rgbColor rgb="FF92D050"/>
      <rgbColor rgb="FFFFCC00"/>
      <rgbColor rgb="FFFF9900"/>
      <rgbColor rgb="FFFF6E1D"/>
      <rgbColor rgb="FF5D768C"/>
      <rgbColor rgb="FF969696"/>
      <rgbColor rgb="FF023059"/>
      <rgbColor rgb="FF1A9E70"/>
      <rgbColor rgb="FF003300"/>
      <rgbColor rgb="FF333300"/>
      <rgbColor rgb="FF993300"/>
      <rgbColor rgb="FF993366"/>
      <rgbColor rgb="FF1F497D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showGridLines="0" zoomScaleNormal="100" workbookViewId="0">
      <selection activeCell="R23" sqref="R23"/>
    </sheetView>
  </sheetViews>
  <sheetFormatPr baseColWidth="10" defaultColWidth="8.7109375" defaultRowHeight="15" x14ac:dyDescent="0.25"/>
  <cols>
    <col min="1" max="1" width="3" style="9" customWidth="1"/>
    <col min="2" max="2" width="38" style="9" customWidth="1"/>
    <col min="3" max="3" width="74" style="9" bestFit="1" customWidth="1"/>
    <col min="4" max="4" width="16" style="9" customWidth="1"/>
    <col min="5" max="16384" width="8.7109375" style="9"/>
  </cols>
  <sheetData>
    <row r="1" spans="1:11" ht="30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5.75" customHeight="1" x14ac:dyDescent="0.25">
      <c r="B2" s="5" t="s">
        <v>1</v>
      </c>
      <c r="C2" s="5"/>
      <c r="D2" s="5"/>
    </row>
    <row r="4" spans="1:11" ht="18" customHeight="1" x14ac:dyDescent="0.25">
      <c r="A4" s="6" t="s">
        <v>2</v>
      </c>
      <c r="B4" s="6"/>
      <c r="C4" s="6"/>
      <c r="D4" s="6"/>
    </row>
    <row r="5" spans="1:11" ht="13.5" customHeight="1" x14ac:dyDescent="0.25">
      <c r="B5" s="10" t="s">
        <v>3</v>
      </c>
      <c r="C5" s="95" t="s">
        <v>4</v>
      </c>
    </row>
    <row r="6" spans="1:11" ht="15" customHeight="1" x14ac:dyDescent="0.25">
      <c r="B6" s="10" t="s">
        <v>5</v>
      </c>
      <c r="C6" s="95" t="s">
        <v>6</v>
      </c>
    </row>
    <row r="7" spans="1:11" ht="15" customHeight="1" x14ac:dyDescent="0.25">
      <c r="B7" s="10" t="s">
        <v>7</v>
      </c>
      <c r="C7" s="95" t="s">
        <v>8</v>
      </c>
    </row>
    <row r="8" spans="1:11" ht="15" customHeight="1" x14ac:dyDescent="0.25">
      <c r="B8" s="10" t="s">
        <v>9</v>
      </c>
      <c r="C8" s="95" t="s">
        <v>10</v>
      </c>
    </row>
    <row r="9" spans="1:11" ht="15" customHeight="1" x14ac:dyDescent="0.25">
      <c r="B9" s="10" t="s">
        <v>11</v>
      </c>
      <c r="C9" s="95" t="s">
        <v>12</v>
      </c>
    </row>
    <row r="10" spans="1:11" ht="15" customHeight="1" x14ac:dyDescent="0.25">
      <c r="B10" s="10" t="s">
        <v>13</v>
      </c>
      <c r="C10" s="95" t="s">
        <v>14</v>
      </c>
    </row>
    <row r="11" spans="1:11" ht="15" customHeight="1" x14ac:dyDescent="0.25">
      <c r="B11" s="10" t="s">
        <v>15</v>
      </c>
      <c r="C11" s="95" t="s">
        <v>16</v>
      </c>
    </row>
    <row r="12" spans="1:11" ht="15" customHeight="1" x14ac:dyDescent="0.25">
      <c r="B12" s="10" t="s">
        <v>17</v>
      </c>
      <c r="C12" s="95" t="s">
        <v>18</v>
      </c>
    </row>
    <row r="13" spans="1:11" ht="15" customHeight="1" x14ac:dyDescent="0.25">
      <c r="B13" s="10" t="s">
        <v>19</v>
      </c>
      <c r="C13" s="95" t="s">
        <v>20</v>
      </c>
    </row>
    <row r="14" spans="1:11" ht="15" customHeight="1" x14ac:dyDescent="0.25">
      <c r="B14" s="10" t="s">
        <v>21</v>
      </c>
      <c r="C14" s="95" t="s">
        <v>22</v>
      </c>
    </row>
    <row r="15" spans="1:11" ht="15" customHeight="1" x14ac:dyDescent="0.25">
      <c r="B15" s="10" t="s">
        <v>23</v>
      </c>
      <c r="C15" s="95" t="s">
        <v>24</v>
      </c>
    </row>
    <row r="17" spans="1:4" ht="18" customHeight="1" x14ac:dyDescent="0.25">
      <c r="A17" s="7" t="s">
        <v>25</v>
      </c>
      <c r="B17" s="7"/>
      <c r="C17" s="7"/>
      <c r="D17" s="7"/>
    </row>
    <row r="18" spans="1:4" ht="15" customHeight="1" x14ac:dyDescent="0.25">
      <c r="B18" s="96" t="s">
        <v>377</v>
      </c>
      <c r="C18" s="11" t="s">
        <v>26</v>
      </c>
    </row>
    <row r="19" spans="1:4" ht="15" customHeight="1" x14ac:dyDescent="0.25">
      <c r="B19" s="12" t="s">
        <v>27</v>
      </c>
      <c r="C19" s="11" t="s">
        <v>28</v>
      </c>
    </row>
    <row r="20" spans="1:4" ht="15" customHeight="1" x14ac:dyDescent="0.25">
      <c r="B20" s="13" t="s">
        <v>29</v>
      </c>
      <c r="C20" s="11" t="s">
        <v>30</v>
      </c>
    </row>
    <row r="21" spans="1:4" ht="15" customHeight="1" x14ac:dyDescent="0.25">
      <c r="B21" s="14" t="s">
        <v>31</v>
      </c>
      <c r="C21" s="11" t="s">
        <v>32</v>
      </c>
    </row>
    <row r="22" spans="1:4" ht="15" customHeight="1" x14ac:dyDescent="0.25">
      <c r="B22" s="15" t="s">
        <v>33</v>
      </c>
      <c r="C22" s="11" t="s">
        <v>34</v>
      </c>
    </row>
    <row r="24" spans="1:4" ht="18" customHeight="1" x14ac:dyDescent="0.25">
      <c r="A24" s="6" t="s">
        <v>35</v>
      </c>
      <c r="B24" s="6"/>
      <c r="C24" s="6"/>
      <c r="D24" s="6"/>
    </row>
    <row r="25" spans="1:4" ht="15" customHeight="1" x14ac:dyDescent="0.25">
      <c r="B25" s="10" t="s">
        <v>36</v>
      </c>
      <c r="C25" s="11" t="s">
        <v>37</v>
      </c>
    </row>
    <row r="26" spans="1:4" ht="15" customHeight="1" x14ac:dyDescent="0.25">
      <c r="B26" s="10" t="s">
        <v>38</v>
      </c>
      <c r="C26" s="11" t="s">
        <v>39</v>
      </c>
    </row>
    <row r="27" spans="1:4" ht="15" customHeight="1" x14ac:dyDescent="0.25">
      <c r="B27" s="10" t="s">
        <v>40</v>
      </c>
      <c r="C27" s="11" t="s">
        <v>41</v>
      </c>
    </row>
    <row r="28" spans="1:4" ht="15" customHeight="1" x14ac:dyDescent="0.25">
      <c r="B28" s="10" t="s">
        <v>42</v>
      </c>
      <c r="C28" s="11" t="s">
        <v>43</v>
      </c>
    </row>
    <row r="29" spans="1:4" ht="15" customHeight="1" x14ac:dyDescent="0.25">
      <c r="B29" s="10" t="s">
        <v>44</v>
      </c>
      <c r="C29" s="11" t="s">
        <v>45</v>
      </c>
    </row>
    <row r="30" spans="1:4" ht="15" customHeight="1" x14ac:dyDescent="0.25">
      <c r="B30" s="10" t="s">
        <v>46</v>
      </c>
      <c r="C30" s="11" t="s">
        <v>47</v>
      </c>
    </row>
    <row r="31" spans="1:4" ht="15" customHeight="1" x14ac:dyDescent="0.25">
      <c r="B31" s="10" t="s">
        <v>48</v>
      </c>
      <c r="C31" s="11" t="s">
        <v>49</v>
      </c>
    </row>
    <row r="32" spans="1:4" ht="15" customHeight="1" x14ac:dyDescent="0.25">
      <c r="B32" s="10" t="s">
        <v>50</v>
      </c>
      <c r="C32" s="11" t="s">
        <v>51</v>
      </c>
    </row>
    <row r="33" spans="1:4" ht="15" customHeight="1" x14ac:dyDescent="0.25">
      <c r="B33" s="10" t="s">
        <v>52</v>
      </c>
      <c r="C33" s="11" t="s">
        <v>53</v>
      </c>
    </row>
    <row r="34" spans="1:4" ht="15" customHeight="1" x14ac:dyDescent="0.25">
      <c r="B34" s="10" t="s">
        <v>54</v>
      </c>
      <c r="C34" s="11" t="s">
        <v>55</v>
      </c>
    </row>
    <row r="35" spans="1:4" ht="15" customHeight="1" x14ac:dyDescent="0.25">
      <c r="B35" s="10" t="s">
        <v>56</v>
      </c>
      <c r="C35" s="11" t="s">
        <v>57</v>
      </c>
    </row>
    <row r="37" spans="1:4" ht="18" customHeight="1" x14ac:dyDescent="0.25">
      <c r="A37" s="7" t="s">
        <v>58</v>
      </c>
      <c r="B37" s="7"/>
      <c r="C37" s="7"/>
      <c r="D37" s="7"/>
    </row>
    <row r="38" spans="1:4" ht="15" customHeight="1" x14ac:dyDescent="0.25">
      <c r="B38" s="16" t="s">
        <v>59</v>
      </c>
      <c r="C38" s="11" t="s">
        <v>60</v>
      </c>
    </row>
    <row r="39" spans="1:4" ht="15" customHeight="1" x14ac:dyDescent="0.25">
      <c r="B39" s="16" t="s">
        <v>61</v>
      </c>
      <c r="C39" s="11" t="s">
        <v>62</v>
      </c>
    </row>
    <row r="40" spans="1:4" ht="15" customHeight="1" x14ac:dyDescent="0.25">
      <c r="B40" s="16" t="s">
        <v>63</v>
      </c>
      <c r="C40" s="11" t="s">
        <v>64</v>
      </c>
    </row>
    <row r="41" spans="1:4" ht="15" customHeight="1" x14ac:dyDescent="0.25">
      <c r="B41" s="16" t="s">
        <v>65</v>
      </c>
      <c r="C41" s="11" t="s">
        <v>66</v>
      </c>
    </row>
    <row r="42" spans="1:4" ht="15" customHeight="1" x14ac:dyDescent="0.25">
      <c r="B42" s="16" t="s">
        <v>67</v>
      </c>
      <c r="C42" s="11" t="s">
        <v>68</v>
      </c>
    </row>
    <row r="43" spans="1:4" ht="15" customHeight="1" x14ac:dyDescent="0.25">
      <c r="B43" s="16" t="s">
        <v>69</v>
      </c>
      <c r="C43" s="11" t="s">
        <v>70</v>
      </c>
    </row>
    <row r="44" spans="1:4" ht="15" customHeight="1" x14ac:dyDescent="0.25">
      <c r="B44" s="16" t="s">
        <v>71</v>
      </c>
      <c r="C44" s="11" t="s">
        <v>72</v>
      </c>
    </row>
    <row r="45" spans="1:4" ht="15" customHeight="1" x14ac:dyDescent="0.25">
      <c r="B45" s="16" t="s">
        <v>73</v>
      </c>
      <c r="C45" s="11" t="s">
        <v>74</v>
      </c>
    </row>
    <row r="48" spans="1:4" ht="15" customHeight="1" x14ac:dyDescent="0.25">
      <c r="B48" s="4" t="s">
        <v>75</v>
      </c>
      <c r="C48" s="4"/>
      <c r="D48" s="4"/>
    </row>
  </sheetData>
  <mergeCells count="7">
    <mergeCell ref="A37:D37"/>
    <mergeCell ref="B48:D48"/>
    <mergeCell ref="A1:K1"/>
    <mergeCell ref="B2:D2"/>
    <mergeCell ref="A4:D4"/>
    <mergeCell ref="A17:D17"/>
    <mergeCell ref="A24:D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0"/>
  <sheetViews>
    <sheetView showGridLines="0" zoomScaleNormal="100" workbookViewId="0">
      <selection activeCell="M134" sqref="M134"/>
    </sheetView>
  </sheetViews>
  <sheetFormatPr baseColWidth="10" defaultColWidth="8.7109375" defaultRowHeight="15" x14ac:dyDescent="0.25"/>
  <cols>
    <col min="1" max="1" width="85.7109375" style="9" customWidth="1"/>
    <col min="2" max="2" width="17.42578125" style="9" customWidth="1"/>
    <col min="3" max="3" width="18.7109375" style="17" customWidth="1"/>
    <col min="4" max="4" width="16.7109375" style="17" customWidth="1"/>
    <col min="5" max="9" width="12" style="81" customWidth="1"/>
    <col min="10" max="16" width="8.7109375" style="83"/>
    <col min="17" max="17" width="7.85546875" style="83" customWidth="1"/>
    <col min="18" max="16384" width="8.7109375" style="83"/>
  </cols>
  <sheetData>
    <row r="1" spans="1:9" ht="24" customHeight="1" x14ac:dyDescent="0.25">
      <c r="A1" s="8" t="s">
        <v>76</v>
      </c>
      <c r="B1" s="8"/>
      <c r="C1" s="8"/>
      <c r="D1" s="8"/>
      <c r="E1" s="8"/>
      <c r="F1" s="8"/>
      <c r="G1" s="8"/>
      <c r="H1" s="8"/>
      <c r="I1" s="8"/>
    </row>
    <row r="2" spans="1:9" ht="18" customHeight="1" x14ac:dyDescent="0.25">
      <c r="B2" s="90" t="s">
        <v>77</v>
      </c>
      <c r="C2" s="90" t="s">
        <v>78</v>
      </c>
      <c r="D2" s="90" t="s">
        <v>79</v>
      </c>
      <c r="E2" s="91" t="s">
        <v>80</v>
      </c>
      <c r="F2" s="91" t="s">
        <v>81</v>
      </c>
      <c r="G2" s="91" t="s">
        <v>82</v>
      </c>
      <c r="H2" s="91" t="s">
        <v>83</v>
      </c>
      <c r="I2" s="91" t="s">
        <v>84</v>
      </c>
    </row>
    <row r="3" spans="1:9" ht="18" customHeight="1" x14ac:dyDescent="0.25">
      <c r="A3" s="7" t="s">
        <v>85</v>
      </c>
      <c r="B3" s="7"/>
      <c r="C3" s="7"/>
      <c r="D3" s="7"/>
      <c r="E3" s="7"/>
      <c r="F3" s="7"/>
      <c r="G3" s="7"/>
      <c r="H3" s="7"/>
      <c r="I3" s="7"/>
    </row>
    <row r="4" spans="1:9" ht="15" customHeight="1" x14ac:dyDescent="0.25">
      <c r="A4" s="19" t="s">
        <v>86</v>
      </c>
      <c r="B4" s="20">
        <v>919312709</v>
      </c>
      <c r="C4" s="20">
        <v>919760895</v>
      </c>
      <c r="D4" s="20">
        <v>848086622</v>
      </c>
    </row>
    <row r="5" spans="1:9" ht="15" customHeight="1" x14ac:dyDescent="0.25">
      <c r="A5" s="21" t="s">
        <v>87</v>
      </c>
      <c r="B5" s="22">
        <v>688685258</v>
      </c>
      <c r="C5" s="22">
        <v>673789750</v>
      </c>
      <c r="D5" s="22">
        <v>663079909</v>
      </c>
    </row>
    <row r="6" spans="1:9" ht="15" customHeight="1" x14ac:dyDescent="0.25">
      <c r="A6" s="19" t="s">
        <v>88</v>
      </c>
      <c r="B6" s="20">
        <v>230627451</v>
      </c>
      <c r="C6" s="20">
        <v>245971145</v>
      </c>
      <c r="D6" s="20">
        <v>185006713</v>
      </c>
    </row>
    <row r="7" spans="1:9" ht="15" customHeight="1" x14ac:dyDescent="0.25">
      <c r="A7" s="21" t="s">
        <v>89</v>
      </c>
      <c r="B7" s="22">
        <v>-84199865</v>
      </c>
      <c r="C7" s="22">
        <v>-96261268</v>
      </c>
      <c r="D7" s="22">
        <v>-94344775</v>
      </c>
    </row>
    <row r="8" spans="1:9" ht="15" customHeight="1" x14ac:dyDescent="0.25">
      <c r="A8" s="21" t="s">
        <v>90</v>
      </c>
      <c r="B8" s="22">
        <v>1999220</v>
      </c>
      <c r="C8" s="22">
        <v>5992358</v>
      </c>
      <c r="D8" s="22">
        <v>4812823</v>
      </c>
    </row>
    <row r="9" spans="1:9" ht="15" customHeight="1" x14ac:dyDescent="0.25">
      <c r="A9" s="21" t="s">
        <v>91</v>
      </c>
      <c r="B9" s="22">
        <v>-10183752</v>
      </c>
      <c r="C9" s="22">
        <v>-9761433</v>
      </c>
      <c r="D9" s="22">
        <v>-9032797</v>
      </c>
    </row>
    <row r="10" spans="1:9" ht="15" customHeight="1" x14ac:dyDescent="0.25">
      <c r="A10" s="19" t="s">
        <v>92</v>
      </c>
      <c r="B10" s="20">
        <f>B6+B7+B8+B9</f>
        <v>138243054</v>
      </c>
      <c r="C10" s="20">
        <v>145940802</v>
      </c>
      <c r="D10" s="20">
        <v>86441964</v>
      </c>
    </row>
    <row r="11" spans="1:9" ht="15" customHeight="1" x14ac:dyDescent="0.25">
      <c r="A11" s="21" t="s">
        <v>93</v>
      </c>
      <c r="B11" s="22">
        <v>-255244812</v>
      </c>
      <c r="C11" s="22">
        <v>-57498049</v>
      </c>
      <c r="D11" s="22">
        <v>-85133230</v>
      </c>
    </row>
    <row r="12" spans="1:9" ht="15" customHeight="1" x14ac:dyDescent="0.25">
      <c r="A12" s="21" t="s">
        <v>94</v>
      </c>
      <c r="B12" s="22">
        <v>302169399</v>
      </c>
      <c r="C12" s="22">
        <v>345814744</v>
      </c>
      <c r="D12" s="22">
        <v>90039231</v>
      </c>
    </row>
    <row r="13" spans="1:9" ht="15" customHeight="1" x14ac:dyDescent="0.25">
      <c r="A13" s="21" t="s">
        <v>95</v>
      </c>
      <c r="B13" s="22">
        <v>12434159</v>
      </c>
      <c r="C13" s="22">
        <v>2582156</v>
      </c>
      <c r="D13" s="22">
        <v>3976701</v>
      </c>
    </row>
    <row r="14" spans="1:9" ht="15" customHeight="1" x14ac:dyDescent="0.25">
      <c r="A14" s="21" t="s">
        <v>96</v>
      </c>
      <c r="B14" s="22">
        <v>-159671181</v>
      </c>
      <c r="C14" s="22">
        <v>-108557350</v>
      </c>
      <c r="D14" s="22">
        <v>-57959601</v>
      </c>
    </row>
    <row r="15" spans="1:9" ht="15" customHeight="1" x14ac:dyDescent="0.25">
      <c r="A15" s="19" t="s">
        <v>97</v>
      </c>
      <c r="B15" s="20">
        <f>SUM(B10:B14)</f>
        <v>37930619</v>
      </c>
      <c r="C15" s="20">
        <v>328282303</v>
      </c>
      <c r="D15" s="20">
        <v>37365065</v>
      </c>
    </row>
    <row r="16" spans="1:9" ht="15" customHeight="1" x14ac:dyDescent="0.25">
      <c r="A16" s="21" t="s">
        <v>98</v>
      </c>
      <c r="B16" s="22">
        <v>-8296615</v>
      </c>
      <c r="C16" s="22">
        <v>-87414437</v>
      </c>
      <c r="D16" s="22">
        <v>-19511734</v>
      </c>
    </row>
    <row r="17" spans="1:9" ht="15" customHeight="1" x14ac:dyDescent="0.25">
      <c r="A17" s="21" t="s">
        <v>99</v>
      </c>
      <c r="B17" s="22">
        <v>-8553345</v>
      </c>
      <c r="C17" s="22">
        <v>-38774091</v>
      </c>
      <c r="D17" s="22">
        <v>4967205</v>
      </c>
    </row>
    <row r="18" spans="1:9" ht="14.25" customHeight="1" x14ac:dyDescent="0.25">
      <c r="A18" s="19" t="s">
        <v>100</v>
      </c>
      <c r="B18" s="20">
        <f>B15+B16+B17</f>
        <v>21080659</v>
      </c>
      <c r="C18" s="20">
        <v>202093775</v>
      </c>
      <c r="D18" s="20">
        <v>22820536</v>
      </c>
    </row>
    <row r="20" spans="1:9" ht="18" customHeight="1" x14ac:dyDescent="0.25">
      <c r="A20" s="7" t="s">
        <v>101</v>
      </c>
      <c r="B20" s="7"/>
      <c r="C20" s="7"/>
      <c r="D20" s="7"/>
      <c r="E20" s="7"/>
      <c r="F20" s="7"/>
      <c r="G20" s="7"/>
      <c r="H20" s="7"/>
      <c r="I20" s="7"/>
    </row>
    <row r="21" spans="1:9" s="84" customFormat="1" ht="18" customHeight="1" x14ac:dyDescent="0.25">
      <c r="A21" s="23" t="s">
        <v>102</v>
      </c>
      <c r="B21" s="24"/>
      <c r="C21" s="24"/>
      <c r="D21" s="24"/>
      <c r="E21" s="82"/>
      <c r="F21" s="82"/>
      <c r="G21" s="82"/>
      <c r="H21" s="82"/>
      <c r="I21" s="82"/>
    </row>
    <row r="22" spans="1:9" ht="15" customHeight="1" x14ac:dyDescent="0.25">
      <c r="A22" s="21" t="s">
        <v>103</v>
      </c>
      <c r="B22" s="22">
        <v>166558064</v>
      </c>
      <c r="C22" s="22">
        <v>265417656</v>
      </c>
      <c r="D22" s="22">
        <v>294183434</v>
      </c>
    </row>
    <row r="23" spans="1:9" ht="15" customHeight="1" x14ac:dyDescent="0.25">
      <c r="A23" s="21" t="s">
        <v>104</v>
      </c>
      <c r="B23" s="22">
        <v>47358732</v>
      </c>
      <c r="C23" s="22">
        <v>18195049</v>
      </c>
      <c r="D23" s="22">
        <v>37355530</v>
      </c>
    </row>
    <row r="24" spans="1:9" ht="15" customHeight="1" x14ac:dyDescent="0.25">
      <c r="A24" s="21" t="s">
        <v>105</v>
      </c>
      <c r="B24" s="22">
        <v>49539392</v>
      </c>
      <c r="C24" s="22">
        <v>64786808</v>
      </c>
      <c r="D24" s="22">
        <v>76818812</v>
      </c>
    </row>
    <row r="25" spans="1:9" ht="15" customHeight="1" x14ac:dyDescent="0.25">
      <c r="A25" s="21" t="s">
        <v>106</v>
      </c>
      <c r="B25" s="22">
        <v>3724558</v>
      </c>
      <c r="C25" s="22">
        <v>760964</v>
      </c>
      <c r="D25" s="22">
        <v>21654777</v>
      </c>
    </row>
    <row r="26" spans="1:9" ht="15" customHeight="1" x14ac:dyDescent="0.25">
      <c r="A26" s="21" t="s">
        <v>107</v>
      </c>
      <c r="B26" s="22">
        <v>10940003</v>
      </c>
      <c r="C26" s="22">
        <v>10490878</v>
      </c>
      <c r="D26" s="22">
        <v>9760886</v>
      </c>
    </row>
    <row r="27" spans="1:9" s="84" customFormat="1" ht="15" customHeight="1" x14ac:dyDescent="0.25">
      <c r="A27" s="26" t="s">
        <v>108</v>
      </c>
      <c r="B27" s="27">
        <v>278120749</v>
      </c>
      <c r="C27" s="27">
        <v>359651355</v>
      </c>
      <c r="D27" s="27">
        <v>439773439</v>
      </c>
      <c r="E27" s="81"/>
      <c r="F27" s="81"/>
      <c r="G27" s="81"/>
      <c r="H27" s="81"/>
      <c r="I27" s="81"/>
    </row>
    <row r="28" spans="1:9" ht="15" customHeight="1" x14ac:dyDescent="0.25">
      <c r="A28" s="19"/>
      <c r="B28" s="20"/>
      <c r="C28" s="20"/>
      <c r="D28" s="20"/>
    </row>
    <row r="29" spans="1:9" ht="15" customHeight="1" x14ac:dyDescent="0.25">
      <c r="A29" s="21" t="s">
        <v>109</v>
      </c>
      <c r="B29" s="22">
        <v>1049899221</v>
      </c>
      <c r="C29" s="22">
        <v>1386784981</v>
      </c>
      <c r="D29" s="22">
        <v>1361529149</v>
      </c>
    </row>
    <row r="30" spans="1:9" ht="15" customHeight="1" x14ac:dyDescent="0.25">
      <c r="A30" s="21" t="s">
        <v>110</v>
      </c>
      <c r="B30" s="22">
        <v>5545007</v>
      </c>
      <c r="C30" s="22">
        <v>4178512</v>
      </c>
      <c r="D30" s="22">
        <v>3241201</v>
      </c>
    </row>
    <row r="31" spans="1:9" ht="15" customHeight="1" x14ac:dyDescent="0.25">
      <c r="A31" s="21" t="s">
        <v>111</v>
      </c>
      <c r="B31" s="22">
        <v>3452567</v>
      </c>
      <c r="C31" s="22">
        <v>3811125</v>
      </c>
      <c r="D31" s="22">
        <v>8710863</v>
      </c>
    </row>
    <row r="32" spans="1:9" ht="15" customHeight="1" x14ac:dyDescent="0.25">
      <c r="A32" s="21" t="s">
        <v>112</v>
      </c>
      <c r="B32" s="22">
        <v>69400</v>
      </c>
      <c r="C32" s="22">
        <v>91295</v>
      </c>
      <c r="D32" s="22">
        <v>91295</v>
      </c>
    </row>
    <row r="33" spans="1:9" ht="15" customHeight="1" x14ac:dyDescent="0.25">
      <c r="A33" s="21" t="s">
        <v>113</v>
      </c>
      <c r="B33" s="22">
        <v>692222</v>
      </c>
      <c r="C33" s="22">
        <v>910609</v>
      </c>
      <c r="D33" s="22">
        <v>910609</v>
      </c>
    </row>
    <row r="34" spans="1:9" ht="15" customHeight="1" x14ac:dyDescent="0.25">
      <c r="A34" s="21" t="s">
        <v>103</v>
      </c>
      <c r="B34" s="22">
        <v>49368121</v>
      </c>
      <c r="C34" s="22">
        <v>88093611</v>
      </c>
      <c r="D34" s="22">
        <v>81983557</v>
      </c>
    </row>
    <row r="35" spans="1:9" ht="15" customHeight="1" x14ac:dyDescent="0.25">
      <c r="A35" s="21" t="s">
        <v>104</v>
      </c>
      <c r="B35" s="22">
        <v>4024529</v>
      </c>
      <c r="C35" s="22">
        <v>8227035</v>
      </c>
      <c r="D35" s="22">
        <v>1300595</v>
      </c>
    </row>
    <row r="36" spans="1:9" ht="15" customHeight="1" x14ac:dyDescent="0.25">
      <c r="A36" s="21" t="s">
        <v>114</v>
      </c>
      <c r="B36" s="22">
        <v>0</v>
      </c>
      <c r="C36" s="22">
        <v>894837</v>
      </c>
      <c r="D36" s="22">
        <v>402504</v>
      </c>
    </row>
    <row r="37" spans="1:9" s="84" customFormat="1" ht="15" customHeight="1" x14ac:dyDescent="0.25">
      <c r="A37" s="29" t="s">
        <v>115</v>
      </c>
      <c r="B37" s="30">
        <v>1113051067</v>
      </c>
      <c r="C37" s="30">
        <v>1492992005</v>
      </c>
      <c r="D37" s="30">
        <v>1458169773</v>
      </c>
      <c r="E37" s="81"/>
      <c r="F37" s="81"/>
      <c r="G37" s="81"/>
      <c r="H37" s="81"/>
      <c r="I37" s="81"/>
    </row>
    <row r="38" spans="1:9" s="84" customFormat="1" ht="15" customHeight="1" x14ac:dyDescent="0.25">
      <c r="A38" s="26" t="s">
        <v>116</v>
      </c>
      <c r="B38" s="30">
        <f>B37+B27</f>
        <v>1391171816</v>
      </c>
      <c r="C38" s="30">
        <f>C37+C27</f>
        <v>1852643360</v>
      </c>
      <c r="D38" s="30">
        <f>D37+D27</f>
        <v>1897943212</v>
      </c>
      <c r="E38" s="81"/>
      <c r="F38" s="81"/>
      <c r="G38" s="81"/>
      <c r="H38" s="81"/>
      <c r="I38" s="81"/>
    </row>
    <row r="39" spans="1:9" ht="15" customHeight="1" x14ac:dyDescent="0.25">
      <c r="B39" s="20"/>
      <c r="C39" s="20"/>
      <c r="D39" s="20"/>
    </row>
    <row r="40" spans="1:9" ht="15" customHeight="1" x14ac:dyDescent="0.25">
      <c r="A40" s="23" t="s">
        <v>117</v>
      </c>
      <c r="B40" s="20"/>
      <c r="C40" s="20"/>
      <c r="D40" s="20"/>
    </row>
    <row r="41" spans="1:9" ht="15" customHeight="1" x14ac:dyDescent="0.25">
      <c r="A41" s="21" t="s">
        <v>118</v>
      </c>
      <c r="B41" s="22">
        <v>81061928</v>
      </c>
      <c r="C41" s="22">
        <v>132443340</v>
      </c>
      <c r="D41" s="22">
        <v>134272932</v>
      </c>
    </row>
    <row r="42" spans="1:9" ht="15" customHeight="1" x14ac:dyDescent="0.25">
      <c r="A42" s="21" t="s">
        <v>119</v>
      </c>
      <c r="B42" s="22">
        <v>2644870</v>
      </c>
      <c r="C42" s="22">
        <v>1826366</v>
      </c>
      <c r="D42" s="22">
        <v>2205229</v>
      </c>
    </row>
    <row r="43" spans="1:9" ht="15" customHeight="1" x14ac:dyDescent="0.25">
      <c r="A43" s="21" t="s">
        <v>120</v>
      </c>
      <c r="B43" s="22">
        <v>124681093</v>
      </c>
      <c r="C43" s="22">
        <v>123117540</v>
      </c>
      <c r="D43" s="22">
        <v>118175529</v>
      </c>
    </row>
    <row r="44" spans="1:9" ht="15" customHeight="1" x14ac:dyDescent="0.25">
      <c r="A44" s="21" t="s">
        <v>121</v>
      </c>
      <c r="B44" s="22">
        <v>9542620</v>
      </c>
      <c r="C44" s="22">
        <v>8433595</v>
      </c>
      <c r="D44" s="22">
        <v>14424503</v>
      </c>
    </row>
    <row r="45" spans="1:9" ht="15" customHeight="1" x14ac:dyDescent="0.25">
      <c r="A45" s="21" t="s">
        <v>122</v>
      </c>
      <c r="B45" s="22">
        <v>19324436</v>
      </c>
      <c r="C45" s="22">
        <v>23560323</v>
      </c>
      <c r="D45" s="22">
        <v>24360359</v>
      </c>
    </row>
    <row r="46" spans="1:9" ht="15" customHeight="1" x14ac:dyDescent="0.25">
      <c r="A46" s="21" t="s">
        <v>123</v>
      </c>
      <c r="B46" s="22">
        <v>6426293</v>
      </c>
      <c r="C46" s="22">
        <v>61623596</v>
      </c>
      <c r="D46" s="22">
        <v>11360635</v>
      </c>
    </row>
    <row r="47" spans="1:9" ht="15" customHeight="1" x14ac:dyDescent="0.25">
      <c r="A47" s="21" t="s">
        <v>124</v>
      </c>
      <c r="B47" s="22">
        <v>11885049</v>
      </c>
      <c r="C47" s="22">
        <v>1310576</v>
      </c>
      <c r="D47" s="22">
        <v>1302784</v>
      </c>
    </row>
    <row r="48" spans="1:9" s="84" customFormat="1" ht="15" customHeight="1" x14ac:dyDescent="0.25">
      <c r="A48" s="29" t="s">
        <v>125</v>
      </c>
      <c r="B48" s="30">
        <f>SUM(B41:B47)</f>
        <v>255566289</v>
      </c>
      <c r="C48" s="30">
        <v>352315336</v>
      </c>
      <c r="D48" s="30">
        <v>306101971</v>
      </c>
      <c r="E48" s="81"/>
      <c r="F48" s="81"/>
      <c r="G48" s="81"/>
      <c r="H48" s="81"/>
      <c r="I48" s="81"/>
    </row>
    <row r="49" spans="1:9" ht="15" customHeight="1" x14ac:dyDescent="0.25">
      <c r="A49" s="19"/>
      <c r="B49" s="20"/>
      <c r="C49" s="20"/>
      <c r="D49" s="20"/>
    </row>
    <row r="50" spans="1:9" ht="15" customHeight="1" x14ac:dyDescent="0.25">
      <c r="A50" s="21" t="s">
        <v>118</v>
      </c>
      <c r="B50" s="22">
        <v>239856931</v>
      </c>
      <c r="C50" s="22">
        <v>92375076</v>
      </c>
      <c r="D50" s="22">
        <v>163635149</v>
      </c>
    </row>
    <row r="51" spans="1:9" ht="15" customHeight="1" x14ac:dyDescent="0.25">
      <c r="A51" s="21" t="s">
        <v>119</v>
      </c>
      <c r="B51" s="22">
        <v>6038159</v>
      </c>
      <c r="C51" s="22">
        <v>2365623</v>
      </c>
      <c r="D51" s="22">
        <v>1328458</v>
      </c>
    </row>
    <row r="52" spans="1:9" ht="15" customHeight="1" x14ac:dyDescent="0.25">
      <c r="A52" s="21" t="s">
        <v>126</v>
      </c>
      <c r="B52" s="22">
        <v>14680570</v>
      </c>
      <c r="C52" s="22">
        <v>14787443</v>
      </c>
      <c r="D52" s="22">
        <v>14065815</v>
      </c>
    </row>
    <row r="53" spans="1:9" ht="15" customHeight="1" x14ac:dyDescent="0.25">
      <c r="A53" s="21" t="s">
        <v>122</v>
      </c>
      <c r="B53" s="22">
        <v>1146915</v>
      </c>
      <c r="C53" s="22">
        <v>1984691</v>
      </c>
      <c r="D53" s="22">
        <v>1958478</v>
      </c>
    </row>
    <row r="54" spans="1:9" ht="15" customHeight="1" x14ac:dyDescent="0.25">
      <c r="A54" s="21" t="s">
        <v>123</v>
      </c>
      <c r="B54" s="22">
        <v>0</v>
      </c>
      <c r="C54" s="22">
        <v>0</v>
      </c>
      <c r="D54" s="22">
        <v>4444867</v>
      </c>
    </row>
    <row r="55" spans="1:9" ht="15" customHeight="1" x14ac:dyDescent="0.25">
      <c r="A55" s="21" t="s">
        <v>124</v>
      </c>
      <c r="B55" s="22">
        <v>1004725</v>
      </c>
      <c r="C55" s="22">
        <v>1328903</v>
      </c>
      <c r="D55" s="22">
        <v>1068855</v>
      </c>
    </row>
    <row r="56" spans="1:9" ht="15" customHeight="1" x14ac:dyDescent="0.25">
      <c r="A56" s="21" t="s">
        <v>127</v>
      </c>
      <c r="B56" s="22">
        <v>232134742</v>
      </c>
      <c r="C56" s="22">
        <v>344144466</v>
      </c>
      <c r="D56" s="22">
        <v>339177261</v>
      </c>
    </row>
    <row r="57" spans="1:9" s="84" customFormat="1" ht="15" customHeight="1" x14ac:dyDescent="0.25">
      <c r="A57" s="26" t="s">
        <v>128</v>
      </c>
      <c r="B57" s="31">
        <f>SUM(B50:B56)</f>
        <v>494862042</v>
      </c>
      <c r="C57" s="31">
        <f>SUM(C50:C56)</f>
        <v>456986202</v>
      </c>
      <c r="D57" s="31">
        <f>SUM(D50:D56)</f>
        <v>525678883</v>
      </c>
      <c r="E57" s="81"/>
      <c r="F57" s="81"/>
      <c r="G57" s="81"/>
      <c r="H57" s="81"/>
      <c r="I57" s="81"/>
    </row>
    <row r="58" spans="1:9" s="84" customFormat="1" ht="15" customHeight="1" x14ac:dyDescent="0.25">
      <c r="A58" s="26" t="s">
        <v>129</v>
      </c>
      <c r="B58" s="30">
        <f>B48+B57</f>
        <v>750428331</v>
      </c>
      <c r="C58" s="30">
        <f>C48+C57</f>
        <v>809301538</v>
      </c>
      <c r="D58" s="30">
        <f>D48+D57</f>
        <v>831780854</v>
      </c>
      <c r="E58" s="81"/>
      <c r="F58" s="81"/>
      <c r="G58" s="81"/>
      <c r="H58" s="81"/>
      <c r="I58" s="81"/>
    </row>
    <row r="59" spans="1:9" ht="15" customHeight="1" x14ac:dyDescent="0.25">
      <c r="A59" s="32"/>
      <c r="B59" s="22"/>
      <c r="C59" s="22"/>
      <c r="D59" s="22"/>
    </row>
    <row r="60" spans="1:9" ht="15" customHeight="1" x14ac:dyDescent="0.25">
      <c r="A60" s="21" t="s">
        <v>130</v>
      </c>
      <c r="B60" s="20">
        <v>265619053</v>
      </c>
      <c r="C60" s="22">
        <v>347823863</v>
      </c>
      <c r="D60" s="22">
        <v>347823863</v>
      </c>
    </row>
    <row r="61" spans="1:9" ht="15" customHeight="1" x14ac:dyDescent="0.25">
      <c r="A61" s="21" t="s">
        <v>131</v>
      </c>
      <c r="B61" s="22">
        <v>360154354</v>
      </c>
      <c r="C61" s="22">
        <v>493475644</v>
      </c>
      <c r="D61" s="22">
        <v>695810175</v>
      </c>
    </row>
    <row r="62" spans="1:9" ht="15" customHeight="1" x14ac:dyDescent="0.25">
      <c r="A62" s="21" t="s">
        <v>132</v>
      </c>
      <c r="B62" s="22">
        <v>14973197</v>
      </c>
      <c r="C62" s="22">
        <v>202334531</v>
      </c>
      <c r="D62" s="22">
        <v>23584613</v>
      </c>
    </row>
    <row r="63" spans="1:9" ht="15" customHeight="1" x14ac:dyDescent="0.25">
      <c r="A63" s="33" t="s">
        <v>133</v>
      </c>
      <c r="B63" s="22">
        <v>640746604</v>
      </c>
      <c r="C63" s="22">
        <v>1043634038</v>
      </c>
      <c r="D63" s="22">
        <v>1067218651</v>
      </c>
    </row>
    <row r="64" spans="1:9" ht="15" customHeight="1" x14ac:dyDescent="0.25">
      <c r="A64" s="21" t="s">
        <v>134</v>
      </c>
      <c r="B64" s="20">
        <v>-39119</v>
      </c>
      <c r="C64" s="22">
        <v>-292216</v>
      </c>
      <c r="D64" s="22">
        <v>-1056293</v>
      </c>
    </row>
    <row r="65" spans="1:9" s="84" customFormat="1" ht="21.75" customHeight="1" x14ac:dyDescent="0.25">
      <c r="A65" s="29" t="s">
        <v>135</v>
      </c>
      <c r="B65" s="30">
        <v>640707485</v>
      </c>
      <c r="C65" s="30">
        <v>1043341822</v>
      </c>
      <c r="D65" s="30">
        <v>1066162358</v>
      </c>
      <c r="E65" s="81"/>
      <c r="F65" s="81"/>
      <c r="G65" s="81"/>
      <c r="H65" s="81"/>
      <c r="I65" s="81"/>
    </row>
    <row r="66" spans="1:9" s="84" customFormat="1" ht="21.75" customHeight="1" x14ac:dyDescent="0.25">
      <c r="A66" s="26" t="s">
        <v>136</v>
      </c>
      <c r="B66" s="30">
        <f>B65+B58</f>
        <v>1391135816</v>
      </c>
      <c r="C66" s="30">
        <f>C65+C58</f>
        <v>1852643360</v>
      </c>
      <c r="D66" s="30">
        <f>D65+D58</f>
        <v>1897943212</v>
      </c>
      <c r="E66" s="81"/>
      <c r="F66" s="81"/>
      <c r="G66" s="81"/>
      <c r="H66" s="81"/>
      <c r="I66" s="81"/>
    </row>
    <row r="68" spans="1:9" ht="18" customHeight="1" x14ac:dyDescent="0.25">
      <c r="A68" s="7" t="s">
        <v>137</v>
      </c>
      <c r="B68" s="7"/>
      <c r="C68" s="7"/>
      <c r="D68" s="7"/>
      <c r="E68" s="7"/>
      <c r="F68" s="7"/>
      <c r="G68" s="7"/>
      <c r="H68" s="7"/>
      <c r="I68" s="7"/>
    </row>
    <row r="69" spans="1:9" ht="15" customHeight="1" x14ac:dyDescent="0.25">
      <c r="A69" s="19" t="s">
        <v>138</v>
      </c>
      <c r="B69" s="22">
        <v>21080659</v>
      </c>
      <c r="C69" s="22">
        <v>202093775</v>
      </c>
      <c r="D69" s="22">
        <v>22820536</v>
      </c>
    </row>
    <row r="70" spans="1:9" ht="15" customHeight="1" x14ac:dyDescent="0.25">
      <c r="A70" s="21" t="s">
        <v>139</v>
      </c>
      <c r="B70" s="22">
        <v>16849960</v>
      </c>
      <c r="C70" s="22">
        <v>126188528</v>
      </c>
      <c r="D70" s="22">
        <v>14544529</v>
      </c>
    </row>
    <row r="71" spans="1:9" ht="15" customHeight="1" x14ac:dyDescent="0.25">
      <c r="A71" s="21" t="s">
        <v>140</v>
      </c>
      <c r="B71" s="22">
        <v>70101333</v>
      </c>
      <c r="C71" s="22">
        <v>82384381</v>
      </c>
      <c r="D71" s="22">
        <v>85527637</v>
      </c>
    </row>
    <row r="72" spans="1:9" ht="15" customHeight="1" x14ac:dyDescent="0.25">
      <c r="A72" s="21" t="s">
        <v>126</v>
      </c>
      <c r="B72" s="22">
        <v>15230440</v>
      </c>
      <c r="C72" s="22">
        <v>6949887</v>
      </c>
      <c r="D72" s="22">
        <v>8517778</v>
      </c>
    </row>
    <row r="73" spans="1:9" ht="15" customHeight="1" x14ac:dyDescent="0.25">
      <c r="A73" s="21" t="s">
        <v>93</v>
      </c>
      <c r="B73" s="22">
        <v>207081777</v>
      </c>
      <c r="C73" s="22">
        <v>53612657</v>
      </c>
      <c r="D73" s="22">
        <v>74907906</v>
      </c>
    </row>
    <row r="74" spans="1:9" ht="15" customHeight="1" x14ac:dyDescent="0.25">
      <c r="A74" s="34" t="s">
        <v>141</v>
      </c>
      <c r="B74" s="22">
        <v>135474312</v>
      </c>
      <c r="C74" s="22">
        <v>76647106</v>
      </c>
      <c r="D74" s="22">
        <v>47491339</v>
      </c>
    </row>
    <row r="75" spans="1:9" ht="15" customHeight="1" x14ac:dyDescent="0.25">
      <c r="A75" s="21" t="s">
        <v>142</v>
      </c>
      <c r="B75" s="22">
        <v>862185</v>
      </c>
      <c r="C75" s="22">
        <v>898420</v>
      </c>
      <c r="D75" s="22">
        <v>0</v>
      </c>
    </row>
    <row r="76" spans="1:9" ht="15" customHeight="1" x14ac:dyDescent="0.25">
      <c r="A76" s="21" t="s">
        <v>143</v>
      </c>
      <c r="B76" s="22">
        <v>-981808</v>
      </c>
      <c r="C76" s="22">
        <v>-3591002</v>
      </c>
      <c r="D76" s="22">
        <v>-545217</v>
      </c>
    </row>
    <row r="77" spans="1:9" ht="15" customHeight="1" x14ac:dyDescent="0.25">
      <c r="A77" s="34" t="s">
        <v>144</v>
      </c>
      <c r="B77" s="22">
        <v>-462544</v>
      </c>
      <c r="C77" s="22">
        <v>1170529</v>
      </c>
      <c r="D77" s="22">
        <v>-1099382</v>
      </c>
    </row>
    <row r="78" spans="1:9" ht="15" customHeight="1" x14ac:dyDescent="0.25">
      <c r="A78" s="21" t="s">
        <v>145</v>
      </c>
      <c r="B78" s="22">
        <v>3998429</v>
      </c>
      <c r="C78" s="22">
        <v>715697</v>
      </c>
      <c r="D78" s="22">
        <v>0</v>
      </c>
    </row>
    <row r="79" spans="1:9" ht="15" customHeight="1" x14ac:dyDescent="0.25">
      <c r="A79" s="21" t="s">
        <v>146</v>
      </c>
      <c r="B79" s="22">
        <v>-302169399</v>
      </c>
      <c r="C79" s="22">
        <v>-345814744</v>
      </c>
      <c r="D79" s="22">
        <v>-90039231</v>
      </c>
    </row>
    <row r="80" spans="1:9" ht="15" customHeight="1" x14ac:dyDescent="0.25">
      <c r="A80" s="21" t="s">
        <v>103</v>
      </c>
      <c r="B80" s="22">
        <v>-31739941</v>
      </c>
      <c r="C80" s="22">
        <v>-60629139</v>
      </c>
      <c r="D80" s="22">
        <v>-13946564</v>
      </c>
    </row>
    <row r="81" spans="1:9" ht="15" customHeight="1" x14ac:dyDescent="0.25">
      <c r="A81" s="21" t="s">
        <v>104</v>
      </c>
      <c r="B81" s="22">
        <v>-10437149</v>
      </c>
      <c r="C81" s="22">
        <v>30139338</v>
      </c>
      <c r="D81" s="22">
        <v>-19338339</v>
      </c>
    </row>
    <row r="82" spans="1:9" ht="15" customHeight="1" x14ac:dyDescent="0.25">
      <c r="A82" s="34" t="s">
        <v>147</v>
      </c>
      <c r="B82" s="22">
        <v>-54539668</v>
      </c>
      <c r="C82" s="22">
        <v>-52421796</v>
      </c>
      <c r="D82" s="22">
        <v>-36778905</v>
      </c>
    </row>
    <row r="83" spans="1:9" ht="15" customHeight="1" x14ac:dyDescent="0.25">
      <c r="A83" s="21" t="s">
        <v>121</v>
      </c>
      <c r="B83" s="22">
        <v>3274794</v>
      </c>
      <c r="C83" s="22">
        <v>-1587621</v>
      </c>
      <c r="D83" s="22">
        <v>7771320</v>
      </c>
    </row>
    <row r="84" spans="1:9" ht="15" customHeight="1" x14ac:dyDescent="0.25">
      <c r="A84" s="34" t="s">
        <v>148</v>
      </c>
      <c r="B84" s="22">
        <v>98455813</v>
      </c>
      <c r="C84" s="22">
        <v>71829563</v>
      </c>
      <c r="D84" s="22">
        <v>18248585</v>
      </c>
    </row>
    <row r="85" spans="1:9" ht="15" customHeight="1" x14ac:dyDescent="0.25">
      <c r="A85" s="34" t="s">
        <v>122</v>
      </c>
      <c r="B85" s="22">
        <v>14681690</v>
      </c>
      <c r="C85" s="22">
        <v>15499161</v>
      </c>
      <c r="D85" s="22">
        <v>6580877</v>
      </c>
    </row>
    <row r="86" spans="1:9" ht="15" customHeight="1" x14ac:dyDescent="0.25">
      <c r="A86" s="34" t="s">
        <v>126</v>
      </c>
      <c r="B86" s="22">
        <v>-1463969</v>
      </c>
      <c r="C86" s="22">
        <v>-1711285</v>
      </c>
      <c r="D86" s="22">
        <v>-2053249</v>
      </c>
    </row>
    <row r="87" spans="1:9" ht="15" customHeight="1" x14ac:dyDescent="0.25">
      <c r="A87" s="34" t="s">
        <v>149</v>
      </c>
      <c r="B87" s="22">
        <v>3475461</v>
      </c>
      <c r="C87" s="22">
        <v>-7078019</v>
      </c>
      <c r="D87" s="22">
        <v>17790218</v>
      </c>
    </row>
    <row r="88" spans="1:9" ht="15" customHeight="1" x14ac:dyDescent="0.25">
      <c r="A88" s="34" t="s">
        <v>124</v>
      </c>
      <c r="B88" s="22">
        <v>15391521</v>
      </c>
      <c r="C88" s="22">
        <v>-14793597</v>
      </c>
      <c r="D88" s="22">
        <v>317295</v>
      </c>
    </row>
    <row r="89" spans="1:9" ht="15" customHeight="1" x14ac:dyDescent="0.25">
      <c r="A89" s="34" t="s">
        <v>150</v>
      </c>
      <c r="B89" s="22">
        <v>-12048026</v>
      </c>
      <c r="C89" s="22">
        <v>-16436749</v>
      </c>
      <c r="D89" s="22">
        <v>-75320906</v>
      </c>
    </row>
    <row r="90" spans="1:9" s="85" customFormat="1" ht="15" customHeight="1" x14ac:dyDescent="0.25">
      <c r="A90" s="29" t="s">
        <v>151</v>
      </c>
      <c r="B90" s="30">
        <v>185164868</v>
      </c>
      <c r="C90" s="30">
        <v>164065090</v>
      </c>
      <c r="D90" s="30">
        <v>65396227</v>
      </c>
      <c r="E90" s="86"/>
      <c r="F90" s="86"/>
      <c r="G90" s="86"/>
      <c r="H90" s="86"/>
      <c r="I90" s="86"/>
    </row>
    <row r="91" spans="1:9" ht="15" customHeight="1" x14ac:dyDescent="0.25">
      <c r="A91" s="34"/>
      <c r="B91" s="22"/>
      <c r="C91" s="22"/>
      <c r="D91" s="22"/>
    </row>
    <row r="92" spans="1:9" ht="15" customHeight="1" x14ac:dyDescent="0.25">
      <c r="A92" s="34" t="s">
        <v>152</v>
      </c>
      <c r="B92" s="22">
        <v>1414367</v>
      </c>
      <c r="C92" s="22">
        <v>0</v>
      </c>
      <c r="D92" s="22">
        <v>1453016</v>
      </c>
    </row>
    <row r="93" spans="1:9" ht="15" customHeight="1" x14ac:dyDescent="0.25">
      <c r="A93" s="34" t="s">
        <v>153</v>
      </c>
      <c r="B93" s="22">
        <v>1796617</v>
      </c>
      <c r="C93" s="22">
        <v>2276105</v>
      </c>
      <c r="D93" s="22">
        <v>2003024</v>
      </c>
    </row>
    <row r="94" spans="1:9" ht="15" customHeight="1" x14ac:dyDescent="0.25">
      <c r="A94" s="34" t="s">
        <v>154</v>
      </c>
      <c r="B94" s="22">
        <v>-78510673</v>
      </c>
      <c r="C94" s="22">
        <v>-96093552</v>
      </c>
      <c r="D94" s="22">
        <v>-62885583</v>
      </c>
    </row>
    <row r="95" spans="1:9" ht="15" customHeight="1" x14ac:dyDescent="0.25">
      <c r="A95" s="34" t="s">
        <v>155</v>
      </c>
      <c r="B95" s="22">
        <v>-1458636</v>
      </c>
      <c r="C95" s="22">
        <v>-903061</v>
      </c>
      <c r="D95" s="22">
        <v>-6410068</v>
      </c>
    </row>
    <row r="96" spans="1:9" ht="15" customHeight="1" x14ac:dyDescent="0.25">
      <c r="A96" s="34" t="s">
        <v>156</v>
      </c>
      <c r="B96" s="22"/>
      <c r="C96" s="22">
        <v>0</v>
      </c>
      <c r="D96" s="22">
        <v>-50043525</v>
      </c>
    </row>
    <row r="97" spans="1:9" ht="15" customHeight="1" x14ac:dyDescent="0.25">
      <c r="A97" s="34" t="s">
        <v>157</v>
      </c>
      <c r="B97" s="22"/>
      <c r="C97" s="22">
        <v>0</v>
      </c>
      <c r="D97" s="22">
        <v>50724638</v>
      </c>
    </row>
    <row r="98" spans="1:9" ht="15" customHeight="1" x14ac:dyDescent="0.25">
      <c r="A98" s="34" t="s">
        <v>158</v>
      </c>
      <c r="B98" s="22">
        <v>-1256030</v>
      </c>
      <c r="C98" s="22">
        <v>-1170529</v>
      </c>
      <c r="D98" s="22">
        <v>-1552882</v>
      </c>
    </row>
    <row r="99" spans="1:9" s="85" customFormat="1" ht="15" customHeight="1" x14ac:dyDescent="0.25">
      <c r="A99" s="29" t="s">
        <v>159</v>
      </c>
      <c r="B99" s="30">
        <v>-78014605</v>
      </c>
      <c r="C99" s="30">
        <v>-95891037</v>
      </c>
      <c r="D99" s="30">
        <v>-66711380</v>
      </c>
      <c r="E99" s="86"/>
      <c r="F99" s="86"/>
      <c r="G99" s="86"/>
      <c r="H99" s="86"/>
      <c r="I99" s="86"/>
    </row>
    <row r="100" spans="1:9" ht="15" customHeight="1" x14ac:dyDescent="0.25">
      <c r="A100" s="34"/>
      <c r="C100" s="22"/>
      <c r="D100" s="22"/>
    </row>
    <row r="101" spans="1:9" ht="15" customHeight="1" x14ac:dyDescent="0.25">
      <c r="A101" s="34" t="s">
        <v>160</v>
      </c>
      <c r="B101" s="22">
        <v>151278075</v>
      </c>
      <c r="C101" s="22">
        <v>434282697</v>
      </c>
      <c r="D101" s="22">
        <v>224864793</v>
      </c>
    </row>
    <row r="102" spans="1:9" ht="15" customHeight="1" x14ac:dyDescent="0.25">
      <c r="A102" s="34" t="s">
        <v>161</v>
      </c>
      <c r="B102" s="22">
        <v>310284594</v>
      </c>
      <c r="C102" s="22">
        <v>0</v>
      </c>
      <c r="D102" s="22">
        <v>119586263</v>
      </c>
    </row>
    <row r="103" spans="1:9" ht="15" customHeight="1" x14ac:dyDescent="0.25">
      <c r="A103" s="34" t="s">
        <v>162</v>
      </c>
      <c r="B103" s="22">
        <v>-118407456</v>
      </c>
      <c r="C103" s="22">
        <v>-81021791</v>
      </c>
      <c r="D103" s="22">
        <v>-37414168</v>
      </c>
    </row>
    <row r="104" spans="1:9" ht="15" customHeight="1" x14ac:dyDescent="0.25">
      <c r="A104" s="34" t="s">
        <v>163</v>
      </c>
      <c r="B104" s="22">
        <v>-189116296</v>
      </c>
      <c r="C104" s="22">
        <v>0</v>
      </c>
      <c r="D104" s="22">
        <v>-2609</v>
      </c>
    </row>
    <row r="105" spans="1:9" ht="15" customHeight="1" x14ac:dyDescent="0.25">
      <c r="A105" s="34" t="s">
        <v>164</v>
      </c>
      <c r="B105" s="22">
        <v>-2092178</v>
      </c>
      <c r="C105" s="22">
        <v>-2283626</v>
      </c>
      <c r="D105" s="22">
        <v>-2325884</v>
      </c>
    </row>
    <row r="106" spans="1:9" ht="15" customHeight="1" x14ac:dyDescent="0.25">
      <c r="A106" s="34" t="s">
        <v>165</v>
      </c>
      <c r="B106" s="22">
        <v>-241416164</v>
      </c>
      <c r="C106" s="22">
        <v>-413687991</v>
      </c>
      <c r="D106" s="22">
        <v>-283309579</v>
      </c>
    </row>
    <row r="107" spans="1:9" ht="15" customHeight="1" x14ac:dyDescent="0.25">
      <c r="A107" s="34" t="s">
        <v>166</v>
      </c>
      <c r="B107" s="22">
        <v>0</v>
      </c>
      <c r="C107" s="22">
        <v>-782491</v>
      </c>
      <c r="D107" s="22">
        <v>0</v>
      </c>
    </row>
    <row r="108" spans="1:9" s="85" customFormat="1" ht="15" customHeight="1" x14ac:dyDescent="0.25">
      <c r="A108" s="26" t="s">
        <v>167</v>
      </c>
      <c r="B108" s="27">
        <v>-89469425</v>
      </c>
      <c r="C108" s="27">
        <v>-63493202</v>
      </c>
      <c r="D108" s="27">
        <v>21398816</v>
      </c>
      <c r="E108" s="86"/>
      <c r="F108" s="86"/>
      <c r="G108" s="86"/>
      <c r="H108" s="86"/>
      <c r="I108" s="86"/>
    </row>
    <row r="109" spans="1:9" ht="15" customHeight="1" x14ac:dyDescent="0.25">
      <c r="A109" s="34"/>
      <c r="B109" s="22"/>
      <c r="C109" s="22"/>
      <c r="D109" s="22"/>
    </row>
    <row r="110" spans="1:9" ht="15" customHeight="1" x14ac:dyDescent="0.25">
      <c r="A110" s="34" t="s">
        <v>168</v>
      </c>
      <c r="B110" s="22">
        <v>17680838</v>
      </c>
      <c r="C110" s="22">
        <v>4680851</v>
      </c>
      <c r="D110" s="22">
        <v>20083663</v>
      </c>
    </row>
    <row r="111" spans="1:9" ht="15" customHeight="1" x14ac:dyDescent="0.25">
      <c r="A111" s="34" t="s">
        <v>169</v>
      </c>
      <c r="B111" s="22">
        <v>33302505</v>
      </c>
      <c r="C111" s="22">
        <v>19291048</v>
      </c>
      <c r="D111" s="22">
        <v>11251842</v>
      </c>
    </row>
    <row r="112" spans="1:9" ht="15" customHeight="1" x14ac:dyDescent="0.25">
      <c r="A112" s="34" t="s">
        <v>170</v>
      </c>
      <c r="B112" s="22">
        <v>-50562265</v>
      </c>
      <c r="C112" s="22">
        <v>-13198080</v>
      </c>
      <c r="D112" s="22">
        <v>-12102579</v>
      </c>
    </row>
    <row r="113" spans="1:9" ht="15" customHeight="1" x14ac:dyDescent="0.25">
      <c r="A113" s="34" t="s">
        <v>171</v>
      </c>
      <c r="B113" s="22">
        <v>14243483</v>
      </c>
      <c r="C113" s="22">
        <v>478023</v>
      </c>
      <c r="D113" s="22">
        <v>12182737</v>
      </c>
    </row>
    <row r="114" spans="1:9" s="85" customFormat="1" ht="15" customHeight="1" x14ac:dyDescent="0.25">
      <c r="A114" s="29" t="s">
        <v>172</v>
      </c>
      <c r="B114" s="30">
        <v>14664561</v>
      </c>
      <c r="C114" s="30">
        <v>11251842</v>
      </c>
      <c r="D114" s="30">
        <v>31415663</v>
      </c>
      <c r="E114" s="86"/>
      <c r="F114" s="86"/>
      <c r="G114" s="86"/>
      <c r="H114" s="86"/>
      <c r="I114" s="86"/>
    </row>
    <row r="115" spans="1:9" ht="15" customHeight="1" x14ac:dyDescent="0.25">
      <c r="A115" s="19"/>
      <c r="B115" s="22"/>
      <c r="C115" s="20"/>
      <c r="D115" s="20"/>
    </row>
    <row r="116" spans="1:9" ht="15" customHeight="1" x14ac:dyDescent="0.25">
      <c r="A116" s="19"/>
      <c r="B116" s="22"/>
      <c r="C116" s="20"/>
      <c r="D116" s="20"/>
    </row>
    <row r="117" spans="1:9" ht="15" customHeight="1" x14ac:dyDescent="0.25">
      <c r="A117" s="19"/>
      <c r="B117" s="22"/>
      <c r="C117" s="20"/>
      <c r="D117" s="20"/>
    </row>
    <row r="118" spans="1:9" ht="15" customHeight="1" x14ac:dyDescent="0.25">
      <c r="A118" s="19"/>
      <c r="B118" s="20"/>
      <c r="C118" s="20"/>
      <c r="D118" s="20"/>
    </row>
    <row r="119" spans="1:9" ht="15" customHeight="1" x14ac:dyDescent="0.25">
      <c r="A119" s="19"/>
      <c r="B119" s="20"/>
      <c r="C119" s="20"/>
      <c r="D119" s="20"/>
    </row>
    <row r="120" spans="1:9" ht="15" customHeight="1" x14ac:dyDescent="0.25">
      <c r="A120" s="19"/>
      <c r="B120" s="20"/>
      <c r="C120" s="20"/>
      <c r="D120" s="20"/>
    </row>
    <row r="122" spans="1:9" ht="18" customHeight="1" x14ac:dyDescent="0.25">
      <c r="A122" s="3" t="s">
        <v>173</v>
      </c>
      <c r="B122" s="3"/>
      <c r="C122" s="3"/>
      <c r="D122" s="3"/>
      <c r="E122" s="3"/>
      <c r="F122" s="3"/>
      <c r="G122" s="3"/>
      <c r="H122" s="3"/>
      <c r="I122" s="3"/>
    </row>
    <row r="123" spans="1:9" ht="15" customHeight="1" x14ac:dyDescent="0.25">
      <c r="E123" s="35" t="s">
        <v>174</v>
      </c>
      <c r="F123" s="35" t="s">
        <v>174</v>
      </c>
      <c r="G123" s="35" t="s">
        <v>174</v>
      </c>
      <c r="H123" s="35" t="s">
        <v>174</v>
      </c>
      <c r="I123" s="35" t="s">
        <v>174</v>
      </c>
    </row>
    <row r="124" spans="1:9" ht="15.75" customHeight="1" x14ac:dyDescent="0.25">
      <c r="A124" s="2" t="s">
        <v>175</v>
      </c>
      <c r="B124" s="2"/>
      <c r="C124" s="2"/>
      <c r="D124" s="2"/>
      <c r="E124" s="2"/>
      <c r="F124" s="2"/>
      <c r="G124" s="2"/>
      <c r="H124" s="2"/>
      <c r="I124" s="2"/>
    </row>
    <row r="125" spans="1:9" ht="15" customHeight="1" x14ac:dyDescent="0.25">
      <c r="A125" s="21" t="s">
        <v>176</v>
      </c>
      <c r="E125" s="92">
        <v>0.22</v>
      </c>
      <c r="F125" s="92">
        <v>0.18</v>
      </c>
      <c r="G125" s="92">
        <v>0.14000000000000001</v>
      </c>
      <c r="H125" s="92">
        <v>0.1</v>
      </c>
      <c r="I125" s="92">
        <v>0.08</v>
      </c>
    </row>
    <row r="126" spans="1:9" ht="15" customHeight="1" x14ac:dyDescent="0.25">
      <c r="A126" s="21" t="s">
        <v>177</v>
      </c>
      <c r="E126" s="92">
        <v>0.22</v>
      </c>
      <c r="F126" s="92">
        <v>0.18</v>
      </c>
      <c r="G126" s="92">
        <v>0.14000000000000001</v>
      </c>
      <c r="H126" s="92">
        <v>0.1</v>
      </c>
      <c r="I126" s="92">
        <v>0.08</v>
      </c>
    </row>
    <row r="127" spans="1:9" ht="15" customHeight="1" x14ac:dyDescent="0.25">
      <c r="A127" s="21" t="s">
        <v>178</v>
      </c>
      <c r="E127" s="92">
        <v>0.22</v>
      </c>
      <c r="F127" s="92">
        <v>0.18</v>
      </c>
      <c r="G127" s="92">
        <v>0.14000000000000001</v>
      </c>
      <c r="H127" s="92">
        <v>0.1</v>
      </c>
      <c r="I127" s="92">
        <v>0.08</v>
      </c>
    </row>
    <row r="128" spans="1:9" ht="15" customHeight="1" x14ac:dyDescent="0.25">
      <c r="A128" s="21" t="s">
        <v>179</v>
      </c>
      <c r="E128" s="92">
        <v>0.22</v>
      </c>
      <c r="F128" s="92">
        <v>0.18</v>
      </c>
      <c r="G128" s="92">
        <v>0.14000000000000001</v>
      </c>
      <c r="H128" s="92">
        <v>0.1</v>
      </c>
      <c r="I128" s="92">
        <v>0.08</v>
      </c>
    </row>
    <row r="129" spans="1:9" ht="15" customHeight="1" x14ac:dyDescent="0.25">
      <c r="A129" s="21" t="s">
        <v>180</v>
      </c>
      <c r="E129" s="92">
        <v>0.22</v>
      </c>
      <c r="F129" s="92">
        <v>0.18</v>
      </c>
      <c r="G129" s="92">
        <v>0.14000000000000001</v>
      </c>
      <c r="H129" s="92">
        <v>0.1</v>
      </c>
      <c r="I129" s="92">
        <v>0.08</v>
      </c>
    </row>
    <row r="130" spans="1:9" ht="15" customHeight="1" x14ac:dyDescent="0.25">
      <c r="A130" s="2" t="s">
        <v>181</v>
      </c>
      <c r="B130" s="2"/>
      <c r="C130" s="2"/>
      <c r="D130" s="2"/>
      <c r="E130" s="2"/>
      <c r="F130" s="2"/>
      <c r="G130" s="2"/>
      <c r="H130" s="2"/>
      <c r="I130" s="2"/>
    </row>
    <row r="131" spans="1:9" ht="15" customHeight="1" x14ac:dyDescent="0.25">
      <c r="A131" s="21" t="s">
        <v>182</v>
      </c>
      <c r="E131" s="92">
        <v>0.76800000000000002</v>
      </c>
      <c r="F131" s="92">
        <v>0.76500000000000001</v>
      </c>
      <c r="G131" s="92">
        <v>0.76200000000000001</v>
      </c>
      <c r="H131" s="92">
        <v>0.75800000000000001</v>
      </c>
      <c r="I131" s="92">
        <v>0.755</v>
      </c>
    </row>
    <row r="132" spans="1:9" ht="15" customHeight="1" x14ac:dyDescent="0.25">
      <c r="A132" s="21" t="s">
        <v>183</v>
      </c>
      <c r="E132" s="92">
        <v>0.108</v>
      </c>
      <c r="F132" s="92">
        <v>0.107</v>
      </c>
      <c r="G132" s="92">
        <v>0.105</v>
      </c>
      <c r="H132" s="92">
        <v>0.104</v>
      </c>
      <c r="I132" s="92">
        <v>0.10199999999999999</v>
      </c>
    </row>
    <row r="133" spans="1:9" ht="15" customHeight="1" x14ac:dyDescent="0.25">
      <c r="A133" s="21" t="s">
        <v>184</v>
      </c>
      <c r="E133" s="36"/>
      <c r="F133" s="36">
        <v>0</v>
      </c>
      <c r="G133" s="36">
        <v>0</v>
      </c>
      <c r="H133" s="36">
        <v>0</v>
      </c>
      <c r="I133" s="36"/>
    </row>
    <row r="134" spans="1:9" ht="15" customHeight="1" x14ac:dyDescent="0.25">
      <c r="A134" s="21" t="s">
        <v>185</v>
      </c>
      <c r="E134" s="36"/>
      <c r="F134" s="36">
        <v>0</v>
      </c>
      <c r="G134" s="36">
        <v>0</v>
      </c>
      <c r="H134" s="36">
        <v>0</v>
      </c>
      <c r="I134" s="36"/>
    </row>
    <row r="135" spans="1:9" ht="15" customHeight="1" x14ac:dyDescent="0.25">
      <c r="A135" s="21" t="s">
        <v>186</v>
      </c>
      <c r="E135" s="92">
        <v>0.35</v>
      </c>
      <c r="F135" s="92">
        <v>0.35</v>
      </c>
      <c r="G135" s="92">
        <v>0.35</v>
      </c>
      <c r="H135" s="92">
        <v>0.35</v>
      </c>
      <c r="I135" s="92">
        <v>0.35</v>
      </c>
    </row>
    <row r="136" spans="1:9" ht="15.75" customHeight="1" x14ac:dyDescent="0.25">
      <c r="A136" s="2" t="s">
        <v>187</v>
      </c>
      <c r="B136" s="2"/>
      <c r="C136" s="2"/>
      <c r="D136" s="2"/>
      <c r="E136" s="2"/>
      <c r="F136" s="2"/>
      <c r="G136" s="2"/>
      <c r="H136" s="2"/>
      <c r="I136" s="2"/>
    </row>
    <row r="137" spans="1:9" ht="15" customHeight="1" x14ac:dyDescent="0.25">
      <c r="A137" s="21" t="s">
        <v>188</v>
      </c>
      <c r="E137" s="93">
        <v>33</v>
      </c>
      <c r="F137" s="93">
        <v>33</v>
      </c>
      <c r="G137" s="93">
        <v>32</v>
      </c>
      <c r="H137" s="93">
        <v>32</v>
      </c>
      <c r="I137" s="93">
        <v>31</v>
      </c>
    </row>
    <row r="138" spans="1:9" ht="15" customHeight="1" x14ac:dyDescent="0.25">
      <c r="A138" s="21" t="s">
        <v>189</v>
      </c>
      <c r="E138" s="93">
        <v>158</v>
      </c>
      <c r="F138" s="93">
        <v>155</v>
      </c>
      <c r="G138" s="93">
        <v>150</v>
      </c>
      <c r="H138" s="93">
        <v>145</v>
      </c>
      <c r="I138" s="93">
        <v>140</v>
      </c>
    </row>
    <row r="139" spans="1:9" ht="15" customHeight="1" x14ac:dyDescent="0.25">
      <c r="A139" s="21" t="s">
        <v>190</v>
      </c>
      <c r="E139" s="93">
        <v>65</v>
      </c>
      <c r="F139" s="93">
        <v>65</v>
      </c>
      <c r="G139" s="93">
        <v>65</v>
      </c>
      <c r="H139" s="93">
        <v>65</v>
      </c>
      <c r="I139" s="93">
        <v>65</v>
      </c>
    </row>
    <row r="140" spans="1:9" ht="15.75" customHeight="1" x14ac:dyDescent="0.25">
      <c r="A140" s="2" t="s">
        <v>191</v>
      </c>
      <c r="B140" s="2"/>
      <c r="C140" s="2"/>
      <c r="D140" s="2"/>
      <c r="E140" s="2"/>
      <c r="F140" s="2"/>
      <c r="G140" s="2"/>
      <c r="H140" s="2"/>
      <c r="I140" s="2"/>
    </row>
    <row r="141" spans="1:9" ht="15" customHeight="1" x14ac:dyDescent="0.25">
      <c r="A141" s="21" t="s">
        <v>192</v>
      </c>
      <c r="E141" s="92">
        <v>8.7999999999999995E-2</v>
      </c>
      <c r="F141" s="92">
        <v>8.5000000000000006E-2</v>
      </c>
      <c r="G141" s="92">
        <v>8.2000000000000003E-2</v>
      </c>
      <c r="H141" s="92">
        <v>0.08</v>
      </c>
      <c r="I141" s="92">
        <v>7.8E-2</v>
      </c>
    </row>
    <row r="142" spans="1:9" ht="15" customHeight="1" x14ac:dyDescent="0.25">
      <c r="A142" s="21" t="s">
        <v>193</v>
      </c>
      <c r="E142" s="92">
        <v>0.1</v>
      </c>
      <c r="F142" s="92">
        <v>0.1</v>
      </c>
      <c r="G142" s="92">
        <v>9.8000000000000004E-2</v>
      </c>
      <c r="H142" s="92">
        <v>9.5000000000000001E-2</v>
      </c>
      <c r="I142" s="92">
        <v>9.2999999999999999E-2</v>
      </c>
    </row>
    <row r="143" spans="1:9" ht="15.75" customHeight="1" x14ac:dyDescent="0.25">
      <c r="A143" s="2" t="s">
        <v>194</v>
      </c>
      <c r="B143" s="2"/>
      <c r="C143" s="2"/>
      <c r="D143" s="2"/>
      <c r="E143" s="2"/>
      <c r="F143" s="2"/>
      <c r="G143" s="2"/>
      <c r="H143" s="2"/>
      <c r="I143" s="2"/>
    </row>
    <row r="144" spans="1:9" ht="15" customHeight="1" x14ac:dyDescent="0.25">
      <c r="A144" s="21" t="s">
        <v>195</v>
      </c>
      <c r="E144" s="92">
        <v>0.16</v>
      </c>
      <c r="F144" s="92">
        <v>0.13500000000000001</v>
      </c>
      <c r="G144" s="92">
        <v>0.11</v>
      </c>
      <c r="H144" s="92">
        <v>0.09</v>
      </c>
      <c r="I144" s="92">
        <v>0.08</v>
      </c>
    </row>
    <row r="145" spans="1:9" ht="15" customHeight="1" x14ac:dyDescent="0.25">
      <c r="A145" s="21" t="s">
        <v>196</v>
      </c>
      <c r="E145" s="94">
        <v>-50000000</v>
      </c>
      <c r="F145" s="94">
        <v>-50000000</v>
      </c>
      <c r="G145" s="94">
        <v>-50000000</v>
      </c>
      <c r="H145" s="94">
        <v>-50000000</v>
      </c>
      <c r="I145" s="94">
        <v>-50000000</v>
      </c>
    </row>
    <row r="146" spans="1:9" ht="15" customHeight="1" x14ac:dyDescent="0.25">
      <c r="A146" s="21" t="s">
        <v>197</v>
      </c>
      <c r="E146" s="94">
        <v>0</v>
      </c>
      <c r="F146" s="94">
        <v>0</v>
      </c>
      <c r="G146" s="94">
        <v>0</v>
      </c>
      <c r="H146" s="94">
        <v>0</v>
      </c>
      <c r="I146" s="94">
        <v>0</v>
      </c>
    </row>
    <row r="147" spans="1:9" ht="15.75" customHeight="1" x14ac:dyDescent="0.25">
      <c r="A147" s="2" t="s">
        <v>198</v>
      </c>
      <c r="B147" s="2"/>
      <c r="C147" s="2"/>
      <c r="D147" s="2"/>
      <c r="E147" s="2"/>
      <c r="F147" s="2"/>
      <c r="G147" s="2"/>
      <c r="H147" s="2"/>
      <c r="I147" s="2"/>
    </row>
    <row r="148" spans="1:9" ht="15" customHeight="1" x14ac:dyDescent="0.25">
      <c r="A148" s="21" t="s">
        <v>199</v>
      </c>
      <c r="E148" s="37">
        <v>0</v>
      </c>
      <c r="F148" s="37">
        <v>0</v>
      </c>
      <c r="G148" s="37">
        <v>0</v>
      </c>
      <c r="H148" s="37">
        <v>0</v>
      </c>
      <c r="I148" s="37">
        <v>0</v>
      </c>
    </row>
    <row r="149" spans="1:9" ht="15" customHeight="1" x14ac:dyDescent="0.25">
      <c r="A149" s="21" t="s">
        <v>200</v>
      </c>
      <c r="E149" s="94">
        <v>596026</v>
      </c>
      <c r="F149" s="94">
        <v>596026</v>
      </c>
      <c r="G149" s="94">
        <v>596026</v>
      </c>
      <c r="H149" s="94">
        <v>596026</v>
      </c>
      <c r="I149" s="94">
        <v>596026</v>
      </c>
    </row>
    <row r="150" spans="1:9" ht="15" customHeight="1" x14ac:dyDescent="0.25">
      <c r="A150" s="21" t="s">
        <v>201</v>
      </c>
      <c r="E150" s="94">
        <v>-15000000</v>
      </c>
      <c r="F150" s="94">
        <v>-10000000</v>
      </c>
      <c r="G150" s="94">
        <v>-5000000</v>
      </c>
      <c r="H150" s="94">
        <v>-3000000</v>
      </c>
      <c r="I150" s="94">
        <v>-2000000</v>
      </c>
    </row>
  </sheetData>
  <mergeCells count="11">
    <mergeCell ref="A147:I147"/>
    <mergeCell ref="A124:I124"/>
    <mergeCell ref="A130:I130"/>
    <mergeCell ref="A136:I136"/>
    <mergeCell ref="A140:I140"/>
    <mergeCell ref="A143:I143"/>
    <mergeCell ref="A1:I1"/>
    <mergeCell ref="A3:I3"/>
    <mergeCell ref="A20:I20"/>
    <mergeCell ref="A68:I68"/>
    <mergeCell ref="A122:I1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showGridLines="0" zoomScale="130" zoomScaleNormal="130" workbookViewId="0">
      <pane ySplit="2" topLeftCell="A3" activePane="bottomLeft" state="frozen"/>
      <selection pane="bottomLeft" activeCell="G21" sqref="G21"/>
    </sheetView>
  </sheetViews>
  <sheetFormatPr baseColWidth="10" defaultColWidth="8.7109375" defaultRowHeight="15" x14ac:dyDescent="0.25"/>
  <cols>
    <col min="1" max="1" width="38" style="9" customWidth="1"/>
    <col min="2" max="2" width="21.5703125" style="17" customWidth="1"/>
    <col min="3" max="3" width="10.7109375" style="9" customWidth="1"/>
    <col min="4" max="4" width="13.7109375" style="38" customWidth="1"/>
    <col min="5" max="5" width="12.28515625" style="9" customWidth="1"/>
    <col min="6" max="8" width="12" style="9" customWidth="1"/>
    <col min="9" max="10" width="14.42578125" style="9" customWidth="1"/>
    <col min="11" max="16384" width="8.7109375" style="9"/>
  </cols>
  <sheetData>
    <row r="1" spans="1:10" ht="24" customHeight="1" x14ac:dyDescent="0.25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 customHeight="1" x14ac:dyDescent="0.25">
      <c r="B2" s="18" t="s">
        <v>77</v>
      </c>
      <c r="C2" s="18" t="s">
        <v>78</v>
      </c>
      <c r="D2" s="39" t="s">
        <v>79</v>
      </c>
      <c r="E2" s="89" t="s">
        <v>80</v>
      </c>
      <c r="F2" s="89" t="s">
        <v>81</v>
      </c>
      <c r="G2" s="89" t="s">
        <v>82</v>
      </c>
      <c r="H2" s="89" t="s">
        <v>83</v>
      </c>
      <c r="I2" s="89" t="s">
        <v>84</v>
      </c>
      <c r="J2" s="40" t="s">
        <v>174</v>
      </c>
    </row>
    <row r="3" spans="1:10" s="28" customFormat="1" ht="15.75" customHeight="1" x14ac:dyDescent="0.25">
      <c r="A3" s="41" t="s">
        <v>203</v>
      </c>
      <c r="B3" s="42" t="s">
        <v>204</v>
      </c>
      <c r="C3" s="43">
        <v>205007364</v>
      </c>
      <c r="D3" s="44">
        <v>510890006</v>
      </c>
      <c r="E3" s="45">
        <f>D3*(1+INPUTS!E125)</f>
        <v>623285807.31999993</v>
      </c>
      <c r="F3" s="45">
        <f>E3*(1+INPUTS!F125)</f>
        <v>735477252.63759983</v>
      </c>
      <c r="G3" s="45">
        <f>F3*(1+INPUTS!G125)</f>
        <v>838444068.00686395</v>
      </c>
      <c r="H3" s="45">
        <f>G3*(1+INPUTS!H125)</f>
        <v>922288474.80755043</v>
      </c>
      <c r="I3" s="45">
        <f>H3*(1+INPUTS!I125)</f>
        <v>996071552.79215455</v>
      </c>
      <c r="J3" s="43">
        <f>IFERROR(I3*(1+INPUTS!I125),0)</f>
        <v>1075757277.015527</v>
      </c>
    </row>
    <row r="4" spans="1:10" ht="12" customHeight="1" x14ac:dyDescent="0.25">
      <c r="A4" s="46" t="s">
        <v>205</v>
      </c>
      <c r="C4" s="47" t="s">
        <v>206</v>
      </c>
      <c r="D4" s="48">
        <f t="shared" ref="D4:J4" si="0">IFERROR(D3/C3-1,0)</f>
        <v>1.4920568511870629</v>
      </c>
      <c r="E4" s="49">
        <f t="shared" si="0"/>
        <v>0.21999999999999997</v>
      </c>
      <c r="F4" s="49">
        <f t="shared" si="0"/>
        <v>0.17999999999999994</v>
      </c>
      <c r="G4" s="49">
        <f t="shared" si="0"/>
        <v>0.14000000000000012</v>
      </c>
      <c r="H4" s="49">
        <f t="shared" si="0"/>
        <v>0.10000000000000009</v>
      </c>
      <c r="I4" s="49">
        <f t="shared" si="0"/>
        <v>8.0000000000000071E-2</v>
      </c>
      <c r="J4" s="49">
        <f t="shared" si="0"/>
        <v>8.0000000000000071E-2</v>
      </c>
    </row>
    <row r="5" spans="1:10" s="28" customFormat="1" ht="15.75" customHeight="1" x14ac:dyDescent="0.25">
      <c r="A5" s="41" t="s">
        <v>207</v>
      </c>
      <c r="B5" s="42" t="s">
        <v>204</v>
      </c>
      <c r="C5" s="43">
        <v>21866051</v>
      </c>
      <c r="D5" s="44">
        <v>45911178</v>
      </c>
      <c r="E5" s="45">
        <f>D5*(1+INPUTS!E126)</f>
        <v>56011637.159999996</v>
      </c>
      <c r="F5" s="45">
        <f>E5*(1+INPUTS!F126)</f>
        <v>66093731.848799989</v>
      </c>
      <c r="G5" s="45">
        <f>F5*(1+INPUTS!G126)</f>
        <v>75346854.307631999</v>
      </c>
      <c r="H5" s="45">
        <f>G5*(1+INPUTS!H126)</f>
        <v>82881539.738395199</v>
      </c>
      <c r="I5" s="45">
        <f>H5*(1+INPUTS!I126)</f>
        <v>89512062.917466819</v>
      </c>
      <c r="J5" s="43">
        <f>IFERROR(I5*(1+INPUTS!I126),0)</f>
        <v>96673027.950864166</v>
      </c>
    </row>
    <row r="6" spans="1:10" ht="12" customHeight="1" x14ac:dyDescent="0.25">
      <c r="A6" s="46" t="s">
        <v>205</v>
      </c>
      <c r="C6" s="50" t="s">
        <v>206</v>
      </c>
      <c r="D6" s="48">
        <f t="shared" ref="D6:J6" si="1">IFERROR(D5/C5-1,0)</f>
        <v>1.0996556717077079</v>
      </c>
      <c r="E6" s="49">
        <f t="shared" si="1"/>
        <v>0.21999999999999997</v>
      </c>
      <c r="F6" s="49">
        <f t="shared" si="1"/>
        <v>0.17999999999999994</v>
      </c>
      <c r="G6" s="49">
        <f t="shared" si="1"/>
        <v>0.14000000000000012</v>
      </c>
      <c r="H6" s="49">
        <f t="shared" si="1"/>
        <v>0.10000000000000009</v>
      </c>
      <c r="I6" s="49">
        <f t="shared" si="1"/>
        <v>8.0000000000000071E-2</v>
      </c>
      <c r="J6" s="49">
        <f t="shared" si="1"/>
        <v>8.0000000000000071E-2</v>
      </c>
    </row>
    <row r="7" spans="1:10" ht="15.75" customHeight="1" x14ac:dyDescent="0.25">
      <c r="A7" s="41" t="s">
        <v>208</v>
      </c>
      <c r="B7" s="42" t="s">
        <v>204</v>
      </c>
      <c r="C7" s="43">
        <v>7071371</v>
      </c>
      <c r="D7" s="44">
        <v>14131733</v>
      </c>
      <c r="E7" s="45">
        <f>D7*(1+INPUTS!E127)</f>
        <v>17240714.259999998</v>
      </c>
      <c r="F7" s="45">
        <f>E7*(1+INPUTS!F127)</f>
        <v>20344042.826799996</v>
      </c>
      <c r="G7" s="45">
        <f>F7*(1+INPUTS!G127)</f>
        <v>23192208.822551999</v>
      </c>
      <c r="H7" s="45">
        <f>G7*(1+INPUTS!H127)</f>
        <v>25511429.7048072</v>
      </c>
      <c r="I7" s="45">
        <f>H7*(1+INPUTS!I127)</f>
        <v>27552344.081191778</v>
      </c>
      <c r="J7" s="43">
        <f>IFERROR(I7*(1+INPUTS!I127),0)</f>
        <v>29756531.607687123</v>
      </c>
    </row>
    <row r="8" spans="1:10" ht="17.25" customHeight="1" x14ac:dyDescent="0.25">
      <c r="A8" s="46" t="s">
        <v>205</v>
      </c>
      <c r="C8" s="50" t="s">
        <v>206</v>
      </c>
      <c r="D8" s="48">
        <f t="shared" ref="D8:J8" si="2">IFERROR(D7/C7-1,0)</f>
        <v>0.99844315904228464</v>
      </c>
      <c r="E8" s="49">
        <f t="shared" si="2"/>
        <v>0.21999999999999975</v>
      </c>
      <c r="F8" s="49">
        <f t="shared" si="2"/>
        <v>0.17999999999999994</v>
      </c>
      <c r="G8" s="49">
        <f t="shared" si="2"/>
        <v>0.14000000000000012</v>
      </c>
      <c r="H8" s="49">
        <f t="shared" si="2"/>
        <v>0.10000000000000009</v>
      </c>
      <c r="I8" s="49">
        <f t="shared" si="2"/>
        <v>8.0000000000000071E-2</v>
      </c>
      <c r="J8" s="49">
        <f t="shared" si="2"/>
        <v>8.0000000000000071E-2</v>
      </c>
    </row>
    <row r="9" spans="1:10" s="28" customFormat="1" ht="17.25" customHeight="1" x14ac:dyDescent="0.25">
      <c r="A9" s="41" t="s">
        <v>209</v>
      </c>
      <c r="B9" s="42" t="s">
        <v>204</v>
      </c>
      <c r="C9" s="44">
        <v>18450706</v>
      </c>
      <c r="D9" s="44">
        <v>54070555</v>
      </c>
      <c r="E9" s="45">
        <f>D9*(1+INPUTS!E128)</f>
        <v>65966077.100000001</v>
      </c>
      <c r="F9" s="45">
        <f>E9*(1+INPUTS!F128)</f>
        <v>77839970.978</v>
      </c>
      <c r="G9" s="45">
        <f>F9*(1+INPUTS!G128)</f>
        <v>88737566.914920017</v>
      </c>
      <c r="H9" s="45">
        <f>G9*(1+INPUTS!H128)</f>
        <v>97611323.606412023</v>
      </c>
      <c r="I9" s="45">
        <f>H9*(1+INPUTS!I128)</f>
        <v>105420229.49492499</v>
      </c>
      <c r="J9" s="43">
        <f>IFERROR(I9*(1+INPUTS!I128),0)</f>
        <v>113853847.85451899</v>
      </c>
    </row>
    <row r="10" spans="1:10" ht="15" customHeight="1" x14ac:dyDescent="0.25">
      <c r="A10" s="46" t="s">
        <v>205</v>
      </c>
      <c r="B10" s="9"/>
      <c r="C10" s="50" t="s">
        <v>206</v>
      </c>
      <c r="D10" s="48">
        <f t="shared" ref="D10:J10" si="3">IFERROR(D9/C9-1,0)</f>
        <v>1.9305412486654983</v>
      </c>
      <c r="E10" s="49">
        <f t="shared" si="3"/>
        <v>0.21999999999999997</v>
      </c>
      <c r="F10" s="49">
        <f t="shared" si="3"/>
        <v>0.17999999999999994</v>
      </c>
      <c r="G10" s="49">
        <f t="shared" si="3"/>
        <v>0.14000000000000012</v>
      </c>
      <c r="H10" s="49">
        <f t="shared" si="3"/>
        <v>0.10000000000000009</v>
      </c>
      <c r="I10" s="49">
        <f t="shared" si="3"/>
        <v>8.0000000000000071E-2</v>
      </c>
      <c r="J10" s="49">
        <f t="shared" si="3"/>
        <v>8.0000000000000071E-2</v>
      </c>
    </row>
    <row r="11" spans="1:10" s="28" customFormat="1" ht="15" customHeight="1" x14ac:dyDescent="0.25">
      <c r="A11" s="41" t="s">
        <v>210</v>
      </c>
      <c r="B11" s="42" t="s">
        <v>204</v>
      </c>
      <c r="C11" s="44">
        <f>1083067+271908</f>
        <v>1354975</v>
      </c>
      <c r="D11" s="44">
        <v>5872104</v>
      </c>
      <c r="E11" s="45">
        <f>D11*(1+INPUTS!E129)</f>
        <v>7163966.8799999999</v>
      </c>
      <c r="F11" s="45">
        <f>E11*(1+INPUTS!F129)</f>
        <v>8453480.9183999989</v>
      </c>
      <c r="G11" s="45">
        <f>F11*(1+INPUTS!G129)</f>
        <v>9636968.2469759993</v>
      </c>
      <c r="H11" s="45">
        <f>G11*(1+INPUTS!H129)</f>
        <v>10600665.0716736</v>
      </c>
      <c r="I11" s="45">
        <f>H11*(1+INPUTS!I129)</f>
        <v>11448718.277407488</v>
      </c>
      <c r="J11" s="43">
        <f>IFERROR(I11*(1+INPUTS!I129),0)</f>
        <v>12364615.739600088</v>
      </c>
    </row>
    <row r="12" spans="1:10" ht="15" customHeight="1" x14ac:dyDescent="0.25">
      <c r="A12" s="46" t="s">
        <v>205</v>
      </c>
      <c r="B12" s="51"/>
      <c r="C12" s="50" t="s">
        <v>206</v>
      </c>
      <c r="D12" s="48">
        <f t="shared" ref="D12:J12" si="4">IFERROR(D11/C11-1,0)</f>
        <v>3.3337360467905315</v>
      </c>
      <c r="E12" s="48">
        <f t="shared" si="4"/>
        <v>0.21999999999999997</v>
      </c>
      <c r="F12" s="48">
        <f t="shared" si="4"/>
        <v>0.17999999999999994</v>
      </c>
      <c r="G12" s="48">
        <f t="shared" si="4"/>
        <v>0.14000000000000012</v>
      </c>
      <c r="H12" s="48">
        <f t="shared" si="4"/>
        <v>0.10000000000000009</v>
      </c>
      <c r="I12" s="48">
        <f t="shared" si="4"/>
        <v>8.0000000000000071E-2</v>
      </c>
      <c r="J12" s="48">
        <f t="shared" si="4"/>
        <v>8.0000000000000071E-2</v>
      </c>
    </row>
    <row r="13" spans="1:10" s="28" customFormat="1" ht="18" customHeight="1" x14ac:dyDescent="0.25">
      <c r="A13" s="26" t="s">
        <v>211</v>
      </c>
      <c r="B13" s="52" t="s">
        <v>212</v>
      </c>
      <c r="C13" s="53">
        <f t="shared" ref="C13:I13" si="5">C3+C5+C7+C9+C11</f>
        <v>253750467</v>
      </c>
      <c r="D13" s="53">
        <f t="shared" si="5"/>
        <v>630875576</v>
      </c>
      <c r="E13" s="53">
        <f t="shared" si="5"/>
        <v>769668202.71999991</v>
      </c>
      <c r="F13" s="53">
        <f t="shared" si="5"/>
        <v>908208479.20959985</v>
      </c>
      <c r="G13" s="53">
        <f t="shared" si="5"/>
        <v>1035357666.2989439</v>
      </c>
      <c r="H13" s="53">
        <f t="shared" si="5"/>
        <v>1138893432.9288385</v>
      </c>
      <c r="I13" s="53">
        <f t="shared" si="5"/>
        <v>1230004907.5631456</v>
      </c>
      <c r="J13" s="43">
        <f>IFERROR(J3+J5+J7+J9+J11,0)</f>
        <v>1328405300.1681974</v>
      </c>
    </row>
    <row r="14" spans="1:10" ht="12.75" customHeight="1" x14ac:dyDescent="0.25">
      <c r="A14" s="46" t="s">
        <v>213</v>
      </c>
      <c r="B14" s="54" t="s">
        <v>206</v>
      </c>
      <c r="C14" s="55">
        <f t="shared" ref="C14:J14" si="6">IFERROR(C13/B13-1,0)</f>
        <v>0</v>
      </c>
      <c r="D14" s="55">
        <f t="shared" si="6"/>
        <v>1.4862045909062309</v>
      </c>
      <c r="E14" s="55">
        <f t="shared" si="6"/>
        <v>0.21999999999999975</v>
      </c>
      <c r="F14" s="55">
        <f t="shared" si="6"/>
        <v>0.17999999999999994</v>
      </c>
      <c r="G14" s="55">
        <f t="shared" si="6"/>
        <v>0.14000000000000012</v>
      </c>
      <c r="H14" s="55">
        <f t="shared" si="6"/>
        <v>0.10000000000000031</v>
      </c>
      <c r="I14" s="55">
        <f t="shared" si="6"/>
        <v>8.0000000000000071E-2</v>
      </c>
      <c r="J14" s="56">
        <f t="shared" si="6"/>
        <v>8.0000000000000071E-2</v>
      </c>
    </row>
    <row r="15" spans="1:10" ht="15" customHeight="1" x14ac:dyDescent="0.25">
      <c r="A15" s="19" t="s">
        <v>214</v>
      </c>
      <c r="C15" s="57">
        <f>C16-C13</f>
        <v>666010428</v>
      </c>
      <c r="D15" s="57">
        <f>D16-D13</f>
        <v>217211046</v>
      </c>
      <c r="E15" s="58">
        <v>0</v>
      </c>
      <c r="F15" s="58">
        <v>0</v>
      </c>
      <c r="G15" s="58">
        <v>0</v>
      </c>
      <c r="H15" s="58">
        <v>0</v>
      </c>
      <c r="I15" s="58">
        <v>0</v>
      </c>
      <c r="J15" s="59"/>
    </row>
    <row r="16" spans="1:10" s="28" customFormat="1" ht="15" customHeight="1" x14ac:dyDescent="0.25">
      <c r="A16" s="26" t="s">
        <v>215</v>
      </c>
      <c r="B16" s="97">
        <v>919312709</v>
      </c>
      <c r="C16" s="97">
        <v>919760895</v>
      </c>
      <c r="D16" s="97">
        <v>848086622</v>
      </c>
      <c r="E16" s="53">
        <f>E13</f>
        <v>769668202.71999991</v>
      </c>
      <c r="F16" s="53">
        <f>F13</f>
        <v>908208479.20959985</v>
      </c>
      <c r="G16" s="53">
        <f>G13</f>
        <v>1035357666.2989439</v>
      </c>
      <c r="H16" s="53">
        <f>H13</f>
        <v>1138893432.9288385</v>
      </c>
      <c r="I16" s="53">
        <f>I13</f>
        <v>1230004907.5631456</v>
      </c>
      <c r="J16" s="60"/>
    </row>
    <row r="18" spans="1:4" ht="15" customHeight="1" x14ac:dyDescent="0.25">
      <c r="A18" s="61"/>
      <c r="B18" s="9"/>
      <c r="D18" s="62"/>
    </row>
    <row r="19" spans="1:4" ht="15" customHeight="1" x14ac:dyDescent="0.25">
      <c r="B19" s="9"/>
      <c r="D19" s="9"/>
    </row>
    <row r="20" spans="1:4" ht="15" customHeight="1" x14ac:dyDescent="0.25">
      <c r="B20" s="9"/>
      <c r="D20" s="9"/>
    </row>
    <row r="21" spans="1:4" ht="15" customHeight="1" x14ac:dyDescent="0.25">
      <c r="B21" s="9"/>
      <c r="D21" s="9"/>
    </row>
    <row r="22" spans="1:4" ht="15" customHeight="1" x14ac:dyDescent="0.25">
      <c r="A22" s="38"/>
      <c r="B22" s="9"/>
      <c r="D22" s="9"/>
    </row>
    <row r="23" spans="1:4" ht="15" customHeight="1" x14ac:dyDescent="0.25">
      <c r="A23" s="38"/>
      <c r="B23" s="9"/>
      <c r="D23" s="9"/>
    </row>
    <row r="24" spans="1:4" ht="15" customHeight="1" x14ac:dyDescent="0.25">
      <c r="A24" s="38"/>
      <c r="B24" s="9"/>
      <c r="D24" s="9"/>
    </row>
    <row r="25" spans="1:4" ht="15" customHeight="1" x14ac:dyDescent="0.25">
      <c r="A25" s="38"/>
      <c r="B25" s="9"/>
      <c r="D25" s="9"/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showGridLines="0" zoomScale="115" zoomScaleNormal="115" workbookViewId="0">
      <pane ySplit="2" topLeftCell="A3" activePane="bottomLeft" state="frozen"/>
      <selection pane="bottomLeft" activeCell="C29" sqref="C29"/>
    </sheetView>
  </sheetViews>
  <sheetFormatPr baseColWidth="10" defaultColWidth="8.7109375" defaultRowHeight="15" x14ac:dyDescent="0.25"/>
  <cols>
    <col min="1" max="1" width="38" style="83" customWidth="1"/>
    <col min="2" max="2" width="19.140625" style="9" customWidth="1"/>
    <col min="3" max="3" width="17.28515625" style="9" customWidth="1"/>
    <col min="4" max="4" width="15" style="9" customWidth="1"/>
    <col min="5" max="8" width="12" style="9" customWidth="1"/>
    <col min="9" max="9" width="13.7109375" style="9" customWidth="1"/>
    <col min="10" max="10" width="12" style="9" customWidth="1"/>
    <col min="11" max="16384" width="8.7109375" style="83"/>
  </cols>
  <sheetData>
    <row r="1" spans="1:10" ht="24" customHeight="1" x14ac:dyDescent="0.25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 customHeight="1" x14ac:dyDescent="0.25">
      <c r="B2" s="90" t="s">
        <v>77</v>
      </c>
      <c r="C2" s="90" t="s">
        <v>78</v>
      </c>
      <c r="D2" s="90" t="s">
        <v>79</v>
      </c>
      <c r="E2" s="98" t="s">
        <v>80</v>
      </c>
      <c r="F2" s="98" t="s">
        <v>81</v>
      </c>
      <c r="G2" s="98" t="s">
        <v>82</v>
      </c>
      <c r="H2" s="98" t="s">
        <v>83</v>
      </c>
      <c r="I2" s="98" t="s">
        <v>84</v>
      </c>
      <c r="J2" s="63" t="s">
        <v>174</v>
      </c>
    </row>
    <row r="3" spans="1:10" s="107" customFormat="1" ht="15" customHeight="1" x14ac:dyDescent="0.25">
      <c r="A3" s="113" t="s">
        <v>217</v>
      </c>
      <c r="B3" s="121">
        <f>REVENUE!B16</f>
        <v>919312709</v>
      </c>
      <c r="C3" s="121">
        <f>REVENUE!C16</f>
        <v>919760895</v>
      </c>
      <c r="D3" s="121">
        <f>REVENUE!D16</f>
        <v>848086622</v>
      </c>
      <c r="E3" s="99">
        <f>REVENUE!E16</f>
        <v>769668202.71999991</v>
      </c>
      <c r="F3" s="99">
        <f>REVENUE!F16</f>
        <v>908208479.20959985</v>
      </c>
      <c r="G3" s="99">
        <f>REVENUE!G16</f>
        <v>1035357666.2989439</v>
      </c>
      <c r="H3" s="99">
        <f>REVENUE!H16</f>
        <v>1138893432.9288385</v>
      </c>
      <c r="I3" s="99">
        <f>REVENUE!I16</f>
        <v>1230004907.5631456</v>
      </c>
      <c r="J3" s="64">
        <f>IFERROR(REVENUE!J13,0)</f>
        <v>1328405300.1681974</v>
      </c>
    </row>
    <row r="5" spans="1:10" ht="18" customHeight="1" x14ac:dyDescent="0.25">
      <c r="A5" s="7" t="s">
        <v>218</v>
      </c>
      <c r="B5" s="7"/>
      <c r="C5" s="7"/>
      <c r="D5" s="7"/>
      <c r="E5" s="7"/>
      <c r="F5" s="7"/>
      <c r="G5" s="7"/>
      <c r="H5" s="7"/>
      <c r="I5" s="7"/>
      <c r="J5" s="7"/>
    </row>
    <row r="6" spans="1:10" s="108" customFormat="1" ht="13.5" customHeight="1" x14ac:dyDescent="0.25">
      <c r="A6" s="114" t="s">
        <v>182</v>
      </c>
      <c r="B6" s="122">
        <v>0.74913057467586897</v>
      </c>
      <c r="C6" s="122">
        <v>0.73257055574209895</v>
      </c>
      <c r="D6" s="122">
        <v>0.78185398967418196</v>
      </c>
      <c r="E6" s="100">
        <f>INPUTS!E131</f>
        <v>0.76800000000000002</v>
      </c>
      <c r="F6" s="100">
        <f>INPUTS!F131</f>
        <v>0.76500000000000001</v>
      </c>
      <c r="G6" s="100">
        <f>INPUTS!G131</f>
        <v>0.76200000000000001</v>
      </c>
      <c r="H6" s="100">
        <f>INPUTS!H131</f>
        <v>0.75800000000000001</v>
      </c>
      <c r="I6" s="100">
        <f>INPUTS!I131</f>
        <v>0.755</v>
      </c>
      <c r="J6" s="111"/>
    </row>
    <row r="7" spans="1:10" s="84" customFormat="1" ht="15.75" customHeight="1" x14ac:dyDescent="0.25">
      <c r="A7" s="115" t="s">
        <v>219</v>
      </c>
      <c r="B7" s="101">
        <f t="shared" ref="B7:I7" si="0">-B3*B6</f>
        <v>-688685257.99999988</v>
      </c>
      <c r="C7" s="102">
        <f t="shared" si="0"/>
        <v>-673789750.00000036</v>
      </c>
      <c r="D7" s="102">
        <f t="shared" si="0"/>
        <v>-663079908.99999988</v>
      </c>
      <c r="E7" s="102">
        <f t="shared" si="0"/>
        <v>-591105179.68895996</v>
      </c>
      <c r="F7" s="102">
        <f t="shared" si="0"/>
        <v>-694779486.59534395</v>
      </c>
      <c r="G7" s="102">
        <f t="shared" si="0"/>
        <v>-788942541.71979523</v>
      </c>
      <c r="H7" s="102">
        <f t="shared" si="0"/>
        <v>-863281222.16005957</v>
      </c>
      <c r="I7" s="102">
        <f t="shared" si="0"/>
        <v>-928653705.21017492</v>
      </c>
      <c r="J7" s="67">
        <f>IFERROR(J3*J6,0)</f>
        <v>0</v>
      </c>
    </row>
    <row r="8" spans="1:10" s="84" customFormat="1" ht="15.75" customHeight="1" x14ac:dyDescent="0.25">
      <c r="A8" s="88" t="s">
        <v>220</v>
      </c>
      <c r="B8" s="103">
        <f t="shared" ref="B8:I8" si="1">B3+B7</f>
        <v>230627451.00000012</v>
      </c>
      <c r="C8" s="103">
        <f t="shared" si="1"/>
        <v>245971144.99999964</v>
      </c>
      <c r="D8" s="103">
        <f t="shared" si="1"/>
        <v>185006713.00000012</v>
      </c>
      <c r="E8" s="103">
        <f t="shared" si="1"/>
        <v>178563023.03103995</v>
      </c>
      <c r="F8" s="103">
        <f t="shared" si="1"/>
        <v>213428992.61425591</v>
      </c>
      <c r="G8" s="103">
        <f t="shared" si="1"/>
        <v>246415124.57914865</v>
      </c>
      <c r="H8" s="103">
        <f t="shared" si="1"/>
        <v>275612210.76877892</v>
      </c>
      <c r="I8" s="103">
        <f t="shared" si="1"/>
        <v>301351202.35297072</v>
      </c>
      <c r="J8" s="67">
        <f>IFERROR(J3-J7,0)</f>
        <v>1328405300.1681974</v>
      </c>
    </row>
    <row r="9" spans="1:10" s="108" customFormat="1" ht="12" customHeight="1" x14ac:dyDescent="0.25">
      <c r="A9" s="118" t="s">
        <v>221</v>
      </c>
      <c r="B9" s="119">
        <f t="shared" ref="B9:J9" si="2">IFERROR(B8/B3,0)</f>
        <v>0.25086942532413103</v>
      </c>
      <c r="C9" s="119">
        <f t="shared" si="2"/>
        <v>0.26742944425790099</v>
      </c>
      <c r="D9" s="119">
        <f t="shared" si="2"/>
        <v>0.21814601032581801</v>
      </c>
      <c r="E9" s="119">
        <f t="shared" si="2"/>
        <v>0.23199999999999996</v>
      </c>
      <c r="F9" s="119">
        <f t="shared" si="2"/>
        <v>0.23499999999999993</v>
      </c>
      <c r="G9" s="119">
        <f t="shared" si="2"/>
        <v>0.23800000000000002</v>
      </c>
      <c r="H9" s="119">
        <f t="shared" si="2"/>
        <v>0.24199999999999999</v>
      </c>
      <c r="I9" s="119">
        <f t="shared" si="2"/>
        <v>0.24500000000000002</v>
      </c>
      <c r="J9" s="120">
        <f t="shared" si="2"/>
        <v>1</v>
      </c>
    </row>
    <row r="11" spans="1:10" ht="18" customHeight="1" x14ac:dyDescent="0.25">
      <c r="A11" s="7" t="s">
        <v>222</v>
      </c>
      <c r="B11" s="7"/>
      <c r="C11" s="7"/>
      <c r="D11" s="7"/>
      <c r="E11" s="7"/>
      <c r="F11" s="7"/>
      <c r="G11" s="7"/>
      <c r="H11" s="7"/>
      <c r="I11" s="7"/>
      <c r="J11" s="7"/>
    </row>
    <row r="12" spans="1:10" s="108" customFormat="1" ht="13.5" customHeight="1" x14ac:dyDescent="0.25">
      <c r="A12" s="114" t="s">
        <v>183</v>
      </c>
      <c r="B12" s="123">
        <v>9.1590015209938799E-2</v>
      </c>
      <c r="C12" s="122">
        <v>0.104659013579828</v>
      </c>
      <c r="D12" s="122">
        <v>0.111244267451727</v>
      </c>
      <c r="E12" s="100">
        <f>INPUTS!E132</f>
        <v>0.108</v>
      </c>
      <c r="F12" s="100">
        <f>INPUTS!F132</f>
        <v>0.107</v>
      </c>
      <c r="G12" s="100">
        <f>INPUTS!G132</f>
        <v>0.105</v>
      </c>
      <c r="H12" s="100">
        <f>INPUTS!H132</f>
        <v>0.104</v>
      </c>
      <c r="I12" s="100">
        <f>INPUTS!I132</f>
        <v>0.10199999999999999</v>
      </c>
      <c r="J12" s="111"/>
    </row>
    <row r="13" spans="1:10" ht="13.5" customHeight="1" x14ac:dyDescent="0.25">
      <c r="A13" s="116" t="s">
        <v>223</v>
      </c>
      <c r="B13" s="101">
        <f t="shared" ref="B13:I13" si="3">-B3*B12</f>
        <v>-84199865.000000045</v>
      </c>
      <c r="C13" s="101">
        <f t="shared" si="3"/>
        <v>-96261267.999999762</v>
      </c>
      <c r="D13" s="101">
        <f t="shared" si="3"/>
        <v>-94344774.999999702</v>
      </c>
      <c r="E13" s="101">
        <f t="shared" si="3"/>
        <v>-83124165.893759996</v>
      </c>
      <c r="F13" s="101">
        <f t="shared" si="3"/>
        <v>-97178307.275427178</v>
      </c>
      <c r="G13" s="101">
        <f t="shared" si="3"/>
        <v>-108712554.96138911</v>
      </c>
      <c r="H13" s="101">
        <f t="shared" si="3"/>
        <v>-118444917.02459919</v>
      </c>
      <c r="I13" s="101">
        <f t="shared" si="3"/>
        <v>-125460500.57144085</v>
      </c>
      <c r="J13" s="68">
        <f>IFERROR(J3*J12,0)</f>
        <v>0</v>
      </c>
    </row>
    <row r="14" spans="1:10" ht="13.5" customHeight="1" x14ac:dyDescent="0.25">
      <c r="A14" s="87" t="s">
        <v>90</v>
      </c>
      <c r="B14" s="124">
        <v>-8184532</v>
      </c>
      <c r="C14" s="124">
        <v>-3769075</v>
      </c>
      <c r="D14" s="124">
        <v>-4219974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69">
        <f>IFERROR(INPUTS!I133,0)</f>
        <v>0</v>
      </c>
    </row>
    <row r="15" spans="1:10" ht="13.5" customHeight="1" x14ac:dyDescent="0.25">
      <c r="A15" s="87" t="s">
        <v>91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69">
        <f>IFERROR(INPUTS!I134,0)</f>
        <v>0</v>
      </c>
    </row>
    <row r="16" spans="1:10" s="84" customFormat="1" ht="15.75" customHeight="1" x14ac:dyDescent="0.25">
      <c r="A16" s="115" t="s">
        <v>224</v>
      </c>
      <c r="B16" s="105">
        <v>0</v>
      </c>
      <c r="C16" s="109">
        <v>0</v>
      </c>
      <c r="D16" s="109">
        <v>0</v>
      </c>
      <c r="E16" s="109">
        <v>0</v>
      </c>
      <c r="F16" s="109">
        <v>0</v>
      </c>
      <c r="G16" s="109">
        <v>0</v>
      </c>
      <c r="H16" s="109">
        <v>0</v>
      </c>
      <c r="I16" s="109">
        <v>0</v>
      </c>
      <c r="J16" s="110">
        <f>IFERROR(J13+J14+J15,0)</f>
        <v>0</v>
      </c>
    </row>
    <row r="17" spans="1:10" ht="15" customHeight="1" x14ac:dyDescent="0.25">
      <c r="B17" s="101">
        <f>B13+B15+B16+B14</f>
        <v>-92384397.000000045</v>
      </c>
      <c r="C17" s="101">
        <f>C13+C15+C16+C14</f>
        <v>-100030342.99999976</v>
      </c>
      <c r="D17" s="101">
        <f>D13+D15+D16+D14</f>
        <v>-98564748.999999702</v>
      </c>
      <c r="E17" s="101">
        <f>E13+E15+E16+E14</f>
        <v>-83124165.893759996</v>
      </c>
      <c r="F17" s="101">
        <f>F13+F15+F16+F14</f>
        <v>-97178307.275427178</v>
      </c>
      <c r="G17" s="101">
        <f>G13+G15+G16+G14</f>
        <v>-108712554.96138911</v>
      </c>
      <c r="H17" s="101">
        <f>H13+H15+H16+H14</f>
        <v>-118444917.02459919</v>
      </c>
      <c r="I17" s="101">
        <f>I13+I15+I16+I14</f>
        <v>-125460500.57144085</v>
      </c>
    </row>
    <row r="18" spans="1:10" ht="18" customHeight="1" x14ac:dyDescent="0.25">
      <c r="A18" s="6" t="s">
        <v>225</v>
      </c>
      <c r="B18" s="6"/>
      <c r="C18" s="6"/>
      <c r="D18" s="6"/>
      <c r="E18" s="6"/>
      <c r="F18" s="6"/>
      <c r="G18" s="6"/>
      <c r="H18" s="6"/>
      <c r="I18" s="6"/>
      <c r="J18" s="6"/>
    </row>
    <row r="19" spans="1:10" s="84" customFormat="1" ht="15.75" customHeight="1" x14ac:dyDescent="0.25">
      <c r="A19" s="88" t="s">
        <v>226</v>
      </c>
      <c r="B19" s="28"/>
      <c r="C19" s="31">
        <f>IFERROR(C8+C16,0)</f>
        <v>245971144.99999964</v>
      </c>
      <c r="D19" s="31">
        <f>IFERROR(D8+D16,0)</f>
        <v>185006713.00000012</v>
      </c>
      <c r="E19" s="31">
        <f>IFERROR(E8+E16,0)</f>
        <v>178563023.03103995</v>
      </c>
      <c r="F19" s="31">
        <f>IFERROR(F8+F16,0)</f>
        <v>213428992.61425591</v>
      </c>
      <c r="G19" s="31">
        <f>IFERROR(G8+G16,0)</f>
        <v>246415124.57914865</v>
      </c>
      <c r="H19" s="31">
        <f>IFERROR(H8+H16,0)</f>
        <v>275612210.76877892</v>
      </c>
      <c r="I19" s="31">
        <f>IFERROR(I8+I16,0)</f>
        <v>301351202.35297072</v>
      </c>
      <c r="J19" s="110">
        <f>IFERROR(J8+J16,0)</f>
        <v>1328405300.1681974</v>
      </c>
    </row>
    <row r="20" spans="1:10" ht="19.5" customHeight="1" x14ac:dyDescent="0.25">
      <c r="A20" s="117" t="s">
        <v>227</v>
      </c>
      <c r="B20" s="103">
        <f>B8+B17</f>
        <v>138243054.00000006</v>
      </c>
      <c r="C20" s="103">
        <f>C8+C17</f>
        <v>145940801.99999988</v>
      </c>
      <c r="D20" s="103">
        <f>D8+D17</f>
        <v>86441964.000000417</v>
      </c>
      <c r="E20" s="103">
        <f>E8+E17</f>
        <v>95438857.137279958</v>
      </c>
      <c r="F20" s="103">
        <f>F8+F17</f>
        <v>116250685.33882873</v>
      </c>
      <c r="G20" s="103">
        <f>G8+G17</f>
        <v>137702569.61775953</v>
      </c>
      <c r="H20" s="103">
        <f>H8+H17</f>
        <v>157167293.74417973</v>
      </c>
      <c r="I20" s="103">
        <f>I8+I17</f>
        <v>175890701.78152987</v>
      </c>
      <c r="J20" s="112">
        <f>IFERROR(J19/J3,0)</f>
        <v>1</v>
      </c>
    </row>
    <row r="21" spans="1:10" ht="15" customHeight="1" x14ac:dyDescent="0.25">
      <c r="B21" s="104">
        <f>IFERROR(B20/B3,0)</f>
        <v>0.15037652873348895</v>
      </c>
      <c r="C21" s="104">
        <f>IFERROR(C20/C3,0)</f>
        <v>0.1586725449987737</v>
      </c>
      <c r="D21" s="104">
        <f>IFERROR(D20/D3,0)</f>
        <v>0.10192586671883667</v>
      </c>
      <c r="E21" s="104">
        <f>IFERROR(E20/E3,0)</f>
        <v>0.12399999999999996</v>
      </c>
      <c r="F21" s="104">
        <f>IFERROR(F20/F3,0)</f>
        <v>0.12799999999999995</v>
      </c>
      <c r="G21" s="104">
        <f>IFERROR(G20/G3,0)</f>
        <v>0.13299999999999998</v>
      </c>
      <c r="H21" s="104">
        <f>IFERROR(H20/H3,0)</f>
        <v>0.13800000000000001</v>
      </c>
      <c r="I21" s="104">
        <f>IFERROR(I20/I3,0)</f>
        <v>0.14300000000000004</v>
      </c>
    </row>
  </sheetData>
  <mergeCells count="4">
    <mergeCell ref="A1:J1"/>
    <mergeCell ref="A5:J5"/>
    <mergeCell ref="A11:J11"/>
    <mergeCell ref="A18:J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"/>
  <sheetViews>
    <sheetView showGridLines="0" zoomScale="124" zoomScaleNormal="124" workbookViewId="0">
      <pane ySplit="3" topLeftCell="A4" activePane="bottomLeft" state="frozen"/>
      <selection pane="bottomLeft" activeCell="E24" sqref="E24"/>
    </sheetView>
  </sheetViews>
  <sheetFormatPr baseColWidth="10" defaultColWidth="8.7109375" defaultRowHeight="15" x14ac:dyDescent="0.25"/>
  <cols>
    <col min="1" max="1" width="38" style="9" customWidth="1"/>
    <col min="2" max="2" width="17.7109375" style="17" customWidth="1"/>
    <col min="3" max="3" width="15.140625" style="9" customWidth="1"/>
    <col min="4" max="4" width="19.7109375" style="9" customWidth="1"/>
    <col min="5" max="5" width="15.7109375" style="9" customWidth="1"/>
    <col min="6" max="6" width="12" style="9" customWidth="1"/>
    <col min="7" max="7" width="15.85546875" style="9" customWidth="1"/>
    <col min="8" max="8" width="12" style="9" customWidth="1"/>
    <col min="9" max="9" width="15.5703125" style="9" customWidth="1"/>
    <col min="10" max="10" width="12" style="9" customWidth="1"/>
    <col min="11" max="16384" width="8.7109375" style="9"/>
  </cols>
  <sheetData>
    <row r="1" spans="1:11" ht="24" customHeight="1" x14ac:dyDescent="0.25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1" ht="18.75" customHeight="1" x14ac:dyDescent="0.25">
      <c r="A2" s="1" t="s">
        <v>229</v>
      </c>
      <c r="B2" s="1"/>
      <c r="C2" s="1"/>
      <c r="D2" s="1"/>
      <c r="E2" s="1"/>
      <c r="F2" s="1"/>
      <c r="G2" s="1"/>
      <c r="H2" s="1"/>
      <c r="I2" s="1"/>
      <c r="J2" s="1"/>
    </row>
    <row r="3" spans="1:11" ht="18" customHeight="1" x14ac:dyDescent="0.25">
      <c r="A3" s="132"/>
      <c r="B3" s="90" t="s">
        <v>77</v>
      </c>
      <c r="C3" s="90" t="s">
        <v>78</v>
      </c>
      <c r="D3" s="90" t="s">
        <v>79</v>
      </c>
      <c r="E3" s="91" t="s">
        <v>80</v>
      </c>
      <c r="F3" s="91" t="s">
        <v>81</v>
      </c>
      <c r="G3" s="91" t="s">
        <v>82</v>
      </c>
      <c r="H3" s="91" t="s">
        <v>83</v>
      </c>
      <c r="I3" s="91" t="s">
        <v>84</v>
      </c>
      <c r="J3" s="63" t="s">
        <v>174</v>
      </c>
    </row>
    <row r="4" spans="1:11" ht="13.5" customHeight="1" x14ac:dyDescent="0.25">
      <c r="A4" s="21" t="s">
        <v>217</v>
      </c>
      <c r="B4" s="121">
        <f>REVENUE!B16</f>
        <v>919312709</v>
      </c>
      <c r="C4" s="121">
        <f>REVENUE!C16</f>
        <v>919760895</v>
      </c>
      <c r="D4" s="121">
        <f>REVENUE!D16</f>
        <v>848086622</v>
      </c>
      <c r="E4" s="149">
        <f>REVENUE!E16</f>
        <v>769668202.71999991</v>
      </c>
      <c r="F4" s="149">
        <f>REVENUE!F16</f>
        <v>908208479.20959985</v>
      </c>
      <c r="G4" s="149">
        <f>REVENUE!G16</f>
        <v>1035357666.2989439</v>
      </c>
      <c r="H4" s="149">
        <f>REVENUE!H16</f>
        <v>1138893432.9288385</v>
      </c>
      <c r="I4" s="149">
        <f>REVENUE!I16</f>
        <v>1230004907.5631456</v>
      </c>
      <c r="J4" s="69">
        <f>IFERROR(REVENUE!J20,0)</f>
        <v>0</v>
      </c>
    </row>
    <row r="5" spans="1:11" ht="13.5" customHeight="1" x14ac:dyDescent="0.25">
      <c r="A5" s="21" t="s">
        <v>230</v>
      </c>
      <c r="B5" s="124">
        <f>COGS_OPEX!B7</f>
        <v>-688685257.99999988</v>
      </c>
      <c r="C5" s="124">
        <f>COGS_OPEX!C7</f>
        <v>-673789750.00000036</v>
      </c>
      <c r="D5" s="124">
        <f>COGS_OPEX!D7</f>
        <v>-663079908.99999988</v>
      </c>
      <c r="E5" s="126">
        <f>COGS_OPEX!E7</f>
        <v>-591105179.68895996</v>
      </c>
      <c r="F5" s="126">
        <f>COGS_OPEX!F7</f>
        <v>-694779486.59534395</v>
      </c>
      <c r="G5" s="126">
        <f>COGS_OPEX!G7</f>
        <v>-788942541.71979523</v>
      </c>
      <c r="H5" s="126">
        <f>COGS_OPEX!H7</f>
        <v>-863281222.16005957</v>
      </c>
      <c r="I5" s="126">
        <f>COGS_OPEX!I7</f>
        <v>-928653705.21017492</v>
      </c>
      <c r="J5" s="69">
        <f>IFERROR(COGS_OPEX!J7,0)</f>
        <v>0</v>
      </c>
    </row>
    <row r="7" spans="1:11" ht="18" customHeight="1" x14ac:dyDescent="0.25">
      <c r="A7" s="7" t="s">
        <v>231</v>
      </c>
      <c r="B7" s="7"/>
      <c r="C7" s="7"/>
      <c r="D7" s="7"/>
      <c r="E7" s="7"/>
      <c r="F7" s="7"/>
      <c r="G7" s="7"/>
      <c r="H7" s="7"/>
      <c r="I7" s="7"/>
      <c r="J7" s="7"/>
    </row>
    <row r="8" spans="1:11" s="25" customFormat="1" ht="13.5" customHeight="1" x14ac:dyDescent="0.25">
      <c r="A8" s="71" t="s">
        <v>232</v>
      </c>
      <c r="B8" s="127">
        <v>19.668909069764599</v>
      </c>
      <c r="C8" s="127">
        <v>25.710143852114999</v>
      </c>
      <c r="D8" s="127">
        <v>33.061323752374904</v>
      </c>
      <c r="E8" s="128">
        <f>INPUTS!E137</f>
        <v>33</v>
      </c>
      <c r="F8" s="128">
        <f>INPUTS!F137</f>
        <v>33</v>
      </c>
      <c r="G8" s="128">
        <f>INPUTS!G137</f>
        <v>32</v>
      </c>
      <c r="H8" s="128">
        <f>INPUTS!H137</f>
        <v>32</v>
      </c>
      <c r="I8" s="128">
        <f>INPUTS!I137</f>
        <v>31</v>
      </c>
      <c r="J8" s="133">
        <f>IFERROR(INPUTS!I137,0)</f>
        <v>31</v>
      </c>
    </row>
    <row r="9" spans="1:11" s="25" customFormat="1" ht="13.5" customHeight="1" x14ac:dyDescent="0.25">
      <c r="A9" s="71" t="s">
        <v>233</v>
      </c>
      <c r="B9" s="127">
        <v>88.275003209085696</v>
      </c>
      <c r="C9" s="127">
        <v>143.77993200401201</v>
      </c>
      <c r="D9" s="127">
        <v>161.93667151209101</v>
      </c>
      <c r="E9" s="128">
        <f>INPUTS!E138</f>
        <v>158</v>
      </c>
      <c r="F9" s="128">
        <f>INPUTS!F138</f>
        <v>155</v>
      </c>
      <c r="G9" s="128">
        <f>INPUTS!G138</f>
        <v>150</v>
      </c>
      <c r="H9" s="128">
        <f>INPUTS!H138</f>
        <v>145</v>
      </c>
      <c r="I9" s="128">
        <f>INPUTS!I138</f>
        <v>140</v>
      </c>
      <c r="J9" s="133">
        <f>IFERROR(INPUTS!I138,0)</f>
        <v>140</v>
      </c>
    </row>
    <row r="10" spans="1:11" s="25" customFormat="1" ht="13.5" customHeight="1" x14ac:dyDescent="0.25">
      <c r="A10" s="71" t="s">
        <v>234</v>
      </c>
      <c r="B10" s="127">
        <v>66.080402355585207</v>
      </c>
      <c r="C10" s="127">
        <v>66.694250098046197</v>
      </c>
      <c r="D10" s="127">
        <v>65.051085848840003</v>
      </c>
      <c r="E10" s="128">
        <f>INPUTS!E139</f>
        <v>65</v>
      </c>
      <c r="F10" s="128">
        <f>INPUTS!F139</f>
        <v>65</v>
      </c>
      <c r="G10" s="128">
        <f>INPUTS!G139</f>
        <v>65</v>
      </c>
      <c r="H10" s="128">
        <f>INPUTS!H139</f>
        <v>65</v>
      </c>
      <c r="I10" s="128">
        <f>INPUTS!I139</f>
        <v>65</v>
      </c>
      <c r="J10" s="133">
        <f>IFERROR(INPUTS!I139,0)</f>
        <v>65</v>
      </c>
    </row>
    <row r="11" spans="1:11" s="25" customFormat="1" ht="15" customHeight="1" x14ac:dyDescent="0.25">
      <c r="B11" s="72"/>
    </row>
    <row r="12" spans="1:11" ht="18" customHeight="1" x14ac:dyDescent="0.25">
      <c r="A12" s="7" t="s">
        <v>235</v>
      </c>
      <c r="B12" s="7"/>
      <c r="C12" s="7"/>
      <c r="D12" s="7"/>
      <c r="E12" s="7"/>
      <c r="F12" s="7"/>
      <c r="G12" s="7"/>
      <c r="H12" s="7"/>
      <c r="I12" s="7"/>
      <c r="J12" s="7"/>
    </row>
    <row r="13" spans="1:11" s="25" customFormat="1" ht="15.75" customHeight="1" x14ac:dyDescent="0.25">
      <c r="A13" s="66" t="s">
        <v>236</v>
      </c>
      <c r="B13" s="134">
        <v>49539392</v>
      </c>
      <c r="C13" s="134">
        <v>64786808</v>
      </c>
      <c r="D13" s="134">
        <v>76818812</v>
      </c>
      <c r="E13" s="136">
        <f>E8/365*E4</f>
        <v>69586440.245917797</v>
      </c>
      <c r="F13" s="136">
        <f>F8/365*F4</f>
        <v>82111999.490183011</v>
      </c>
      <c r="G13" s="136">
        <f t="shared" ref="E13:I14" si="0">G8/365*G4</f>
        <v>90771083.072784126</v>
      </c>
      <c r="H13" s="136">
        <f t="shared" si="0"/>
        <v>99848191.38006255</v>
      </c>
      <c r="I13" s="136">
        <f t="shared" si="0"/>
        <v>104466170.23139045</v>
      </c>
      <c r="J13" s="74">
        <f>IFERROR(J8/365*J4,0)</f>
        <v>0</v>
      </c>
      <c r="K13" s="137"/>
    </row>
    <row r="14" spans="1:11" s="25" customFormat="1" ht="15.75" customHeight="1" x14ac:dyDescent="0.25">
      <c r="A14" s="66" t="s">
        <v>237</v>
      </c>
      <c r="B14" s="134">
        <v>166558064</v>
      </c>
      <c r="C14" s="134">
        <v>265417656</v>
      </c>
      <c r="D14" s="134">
        <v>294183434</v>
      </c>
      <c r="E14" s="136">
        <f>(E9/365*E5)*-1</f>
        <v>255875666.82426211</v>
      </c>
      <c r="F14" s="136">
        <f t="shared" ref="F14:I14" si="1">(F9/365*F5)*-1</f>
        <v>295043343.62268031</v>
      </c>
      <c r="G14" s="136">
        <f t="shared" si="1"/>
        <v>324222962.35060078</v>
      </c>
      <c r="H14" s="136">
        <f t="shared" si="1"/>
        <v>342947334.83070856</v>
      </c>
      <c r="I14" s="136">
        <f t="shared" si="1"/>
        <v>356195941.72445065</v>
      </c>
      <c r="J14" s="74">
        <f>IFERROR(J9/365*J5,0)</f>
        <v>0</v>
      </c>
      <c r="K14" s="137"/>
    </row>
    <row r="15" spans="1:11" s="25" customFormat="1" ht="15.75" customHeight="1" x14ac:dyDescent="0.25">
      <c r="A15" s="66" t="s">
        <v>238</v>
      </c>
      <c r="B15" s="134">
        <v>124681093</v>
      </c>
      <c r="C15" s="134">
        <v>123117540</v>
      </c>
      <c r="D15" s="134">
        <v>118175529</v>
      </c>
      <c r="E15" s="136">
        <f>E10/365*ABS(E5)</f>
        <v>105265305.97200656</v>
      </c>
      <c r="F15" s="136">
        <f>F10/365*ABS(F5)</f>
        <v>123727853.77725303</v>
      </c>
      <c r="G15" s="136">
        <f>G10/365*ABS(G5)</f>
        <v>140496617.01859367</v>
      </c>
      <c r="H15" s="136">
        <f>H10/365*ABS(H5)</f>
        <v>153735012.16549006</v>
      </c>
      <c r="I15" s="136">
        <f>I10/365*ABS(I5)</f>
        <v>165376687.22920921</v>
      </c>
      <c r="J15" s="74">
        <f>IFERROR(J10/365*J5,0)</f>
        <v>0</v>
      </c>
      <c r="K15" s="137"/>
    </row>
    <row r="16" spans="1:11" s="25" customFormat="1" ht="15.75" customHeight="1" x14ac:dyDescent="0.25">
      <c r="A16" s="32" t="s">
        <v>239</v>
      </c>
      <c r="B16" s="148">
        <f t="shared" ref="B16:I16" si="2">B13+B14-B15</f>
        <v>91416363</v>
      </c>
      <c r="C16" s="148">
        <f t="shared" si="2"/>
        <v>207086924</v>
      </c>
      <c r="D16" s="148">
        <f t="shared" si="2"/>
        <v>252826717</v>
      </c>
      <c r="E16" s="136">
        <f t="shared" si="2"/>
        <v>220196801.09817338</v>
      </c>
      <c r="F16" s="136">
        <f t="shared" si="2"/>
        <v>253427489.33561027</v>
      </c>
      <c r="G16" s="136">
        <f t="shared" si="2"/>
        <v>274497428.40479124</v>
      </c>
      <c r="H16" s="136">
        <f t="shared" si="2"/>
        <v>289060514.04528105</v>
      </c>
      <c r="I16" s="136">
        <f t="shared" si="2"/>
        <v>295285424.72663188</v>
      </c>
      <c r="J16" s="74">
        <f>IFERROR(J13+J14-J15,0)</f>
        <v>0</v>
      </c>
      <c r="K16" s="137"/>
    </row>
    <row r="17" spans="1:11" s="72" customFormat="1" ht="12" customHeight="1" x14ac:dyDescent="0.2">
      <c r="A17" s="73" t="s">
        <v>240</v>
      </c>
      <c r="B17" s="129" t="s">
        <v>206</v>
      </c>
      <c r="C17" s="130">
        <f t="shared" ref="C17:I17" si="3">C16-B16</f>
        <v>115670561</v>
      </c>
      <c r="D17" s="131">
        <f t="shared" si="3"/>
        <v>45739793</v>
      </c>
      <c r="E17" s="131">
        <f t="shared" si="3"/>
        <v>-32629915.90182662</v>
      </c>
      <c r="F17" s="131">
        <f t="shared" si="3"/>
        <v>33230688.237436891</v>
      </c>
      <c r="G17" s="131">
        <f t="shared" si="3"/>
        <v>21069939.069180965</v>
      </c>
      <c r="H17" s="131">
        <f t="shared" si="3"/>
        <v>14563085.640489817</v>
      </c>
      <c r="I17" s="131">
        <f t="shared" si="3"/>
        <v>6224910.6813508272</v>
      </c>
      <c r="J17" s="74">
        <f>IFERROR(J16-I16,0)</f>
        <v>-295285424.72663188</v>
      </c>
    </row>
    <row r="18" spans="1:11" s="25" customFormat="1" ht="15" customHeight="1" x14ac:dyDescent="0.25">
      <c r="B18" s="72"/>
      <c r="C18" s="137"/>
      <c r="D18" s="137"/>
      <c r="E18" s="137"/>
      <c r="F18" s="137"/>
      <c r="G18" s="137"/>
      <c r="H18" s="137"/>
      <c r="I18" s="137"/>
      <c r="J18" s="137"/>
      <c r="K18" s="137"/>
    </row>
    <row r="19" spans="1:11" s="25" customFormat="1" ht="15" customHeight="1" x14ac:dyDescent="0.25">
      <c r="B19" s="72"/>
      <c r="C19" s="137"/>
      <c r="D19" s="137"/>
      <c r="E19" s="137"/>
      <c r="F19" s="137"/>
      <c r="G19" s="137"/>
      <c r="H19" s="137"/>
      <c r="I19" s="137"/>
      <c r="J19" s="137"/>
      <c r="K19" s="137"/>
    </row>
    <row r="20" spans="1:11" x14ac:dyDescent="0.25">
      <c r="C20" s="138"/>
      <c r="D20" s="138"/>
      <c r="E20" s="138"/>
      <c r="F20" s="138"/>
      <c r="G20" s="138"/>
      <c r="H20" s="138"/>
      <c r="I20" s="138"/>
      <c r="J20" s="138"/>
      <c r="K20" s="138"/>
    </row>
    <row r="21" spans="1:11" x14ac:dyDescent="0.25">
      <c r="C21" s="138"/>
      <c r="D21" s="138"/>
      <c r="E21" s="138"/>
      <c r="F21" s="138"/>
      <c r="G21" s="138"/>
      <c r="H21" s="138"/>
      <c r="I21" s="138"/>
      <c r="J21" s="138"/>
      <c r="K21" s="138"/>
    </row>
  </sheetData>
  <mergeCells count="4">
    <mergeCell ref="A1:J1"/>
    <mergeCell ref="A2:J2"/>
    <mergeCell ref="A7:J7"/>
    <mergeCell ref="A12:J1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7"/>
  <sheetViews>
    <sheetView showGridLines="0" zoomScale="118" zoomScaleNormal="118" workbookViewId="0">
      <pane ySplit="2" topLeftCell="A3" activePane="bottomLeft" state="frozen"/>
      <selection pane="bottomLeft" activeCell="E25" sqref="E25"/>
    </sheetView>
  </sheetViews>
  <sheetFormatPr baseColWidth="10" defaultColWidth="8.7109375" defaultRowHeight="15" x14ac:dyDescent="0.25"/>
  <cols>
    <col min="1" max="1" width="38" style="9" customWidth="1"/>
    <col min="2" max="2" width="16" style="9" customWidth="1"/>
    <col min="3" max="10" width="12" style="9" customWidth="1"/>
    <col min="11" max="16384" width="8.7109375" style="9"/>
  </cols>
  <sheetData>
    <row r="1" spans="1:10" ht="24" customHeight="1" x14ac:dyDescent="0.25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25">
      <c r="B2" s="90" t="s">
        <v>77</v>
      </c>
      <c r="C2" s="90" t="s">
        <v>78</v>
      </c>
      <c r="D2" s="90" t="s">
        <v>79</v>
      </c>
      <c r="E2" s="91" t="s">
        <v>80</v>
      </c>
      <c r="F2" s="91" t="s">
        <v>81</v>
      </c>
      <c r="G2" s="91" t="s">
        <v>82</v>
      </c>
      <c r="H2" s="91" t="s">
        <v>83</v>
      </c>
      <c r="I2" s="91" t="s">
        <v>84</v>
      </c>
      <c r="J2" s="142" t="s">
        <v>174</v>
      </c>
    </row>
    <row r="3" spans="1:10" ht="13.5" customHeight="1" x14ac:dyDescent="0.25">
      <c r="A3" s="21" t="s">
        <v>217</v>
      </c>
      <c r="B3" s="121">
        <f>REVENUE!B16</f>
        <v>919312709</v>
      </c>
      <c r="C3" s="121">
        <f>REVENUE!C16</f>
        <v>919760895</v>
      </c>
      <c r="D3" s="121">
        <f>REVENUE!D16</f>
        <v>848086622</v>
      </c>
      <c r="E3" s="99">
        <f>REVENUE!E16</f>
        <v>769668202.71999991</v>
      </c>
      <c r="F3" s="99">
        <f>REVENUE!F16</f>
        <v>908208479.20959985</v>
      </c>
      <c r="G3" s="99">
        <f>REVENUE!G16</f>
        <v>1035357666.2989439</v>
      </c>
      <c r="H3" s="99">
        <f>REVENUE!H16</f>
        <v>1138893432.9288385</v>
      </c>
      <c r="I3" s="99">
        <f>REVENUE!I16</f>
        <v>1230004907.5631456</v>
      </c>
      <c r="J3" s="146">
        <f>IFERROR(REVENUE!J13,0)</f>
        <v>1328405300.1681974</v>
      </c>
    </row>
    <row r="4" spans="1:10" x14ac:dyDescent="0.25">
      <c r="B4" s="65"/>
      <c r="C4" s="65"/>
      <c r="D4" s="65"/>
    </row>
    <row r="5" spans="1:10" x14ac:dyDescent="0.25">
      <c r="A5" s="7" t="s">
        <v>242</v>
      </c>
      <c r="B5" s="7"/>
      <c r="C5" s="7"/>
      <c r="D5" s="7"/>
      <c r="E5" s="7"/>
      <c r="F5" s="7"/>
      <c r="G5" s="7"/>
      <c r="H5" s="7"/>
      <c r="I5" s="7"/>
      <c r="J5" s="7"/>
    </row>
    <row r="6" spans="1:10" ht="13.5" customHeight="1" x14ac:dyDescent="0.25">
      <c r="A6" s="46" t="s">
        <v>192</v>
      </c>
      <c r="B6" s="143">
        <v>8.6988146924443302E-2</v>
      </c>
      <c r="C6" s="143">
        <v>0.105458509409666</v>
      </c>
      <c r="D6" s="143">
        <v>8.1708223196097093E-2</v>
      </c>
      <c r="E6" s="100">
        <f>INPUTS!E141</f>
        <v>8.7999999999999995E-2</v>
      </c>
      <c r="F6" s="100">
        <f>INPUTS!F141</f>
        <v>8.5000000000000006E-2</v>
      </c>
      <c r="G6" s="100">
        <f>INPUTS!G141</f>
        <v>8.2000000000000003E-2</v>
      </c>
      <c r="H6" s="100">
        <f>INPUTS!H141</f>
        <v>0.08</v>
      </c>
      <c r="I6" s="100">
        <f>INPUTS!I141</f>
        <v>7.8E-2</v>
      </c>
      <c r="J6" s="147">
        <f>IFERROR(INPUTS!I141,0)</f>
        <v>7.8E-2</v>
      </c>
    </row>
    <row r="7" spans="1:10" ht="15.75" customHeight="1" x14ac:dyDescent="0.25">
      <c r="A7" s="33" t="s">
        <v>243</v>
      </c>
      <c r="B7" s="121">
        <v>-79969309</v>
      </c>
      <c r="C7" s="121">
        <v>-96996613</v>
      </c>
      <c r="D7" s="121">
        <v>-69295651</v>
      </c>
      <c r="E7" s="101">
        <f>-E3*E6</f>
        <v>-67730801.839359984</v>
      </c>
      <c r="F7" s="101">
        <f>-F3*F6</f>
        <v>-77197720.732815996</v>
      </c>
      <c r="G7" s="101">
        <f>-G3*G6</f>
        <v>-84899328.636513397</v>
      </c>
      <c r="H7" s="101">
        <f>-H3*H6</f>
        <v>-91111474.634307086</v>
      </c>
      <c r="I7" s="101">
        <f>-I3*I6</f>
        <v>-95940382.789925367</v>
      </c>
      <c r="J7" s="68">
        <f>IFERROR(-J3*J6,0)</f>
        <v>-103615613.41311939</v>
      </c>
    </row>
    <row r="9" spans="1:10" ht="18" customHeight="1" x14ac:dyDescent="0.25">
      <c r="A9" s="7" t="s">
        <v>244</v>
      </c>
      <c r="B9" s="7"/>
      <c r="C9" s="7"/>
      <c r="D9" s="7"/>
      <c r="E9" s="7"/>
      <c r="F9" s="7"/>
      <c r="G9" s="7"/>
      <c r="H9" s="7"/>
      <c r="I9" s="7"/>
      <c r="J9" s="7"/>
    </row>
    <row r="10" spans="1:10" ht="13.5" customHeight="1" x14ac:dyDescent="0.25">
      <c r="A10" s="46" t="s">
        <v>193</v>
      </c>
      <c r="B10" s="143">
        <v>7.62540671022095E-2</v>
      </c>
      <c r="C10" s="143">
        <v>8.9571519563244703E-2</v>
      </c>
      <c r="D10" s="143">
        <v>0.100847761043919</v>
      </c>
      <c r="E10" s="100">
        <f>INPUTS!E142</f>
        <v>0.1</v>
      </c>
      <c r="F10" s="100">
        <f>INPUTS!F142</f>
        <v>0.1</v>
      </c>
      <c r="G10" s="100">
        <f>INPUTS!G142</f>
        <v>9.8000000000000004E-2</v>
      </c>
      <c r="H10" s="100">
        <f>INPUTS!H142</f>
        <v>9.5000000000000001E-2</v>
      </c>
      <c r="I10" s="100">
        <f>INPUTS!I142</f>
        <v>9.2999999999999999E-2</v>
      </c>
      <c r="J10" s="147">
        <f>IFERROR(INPUTS!I142,0)</f>
        <v>9.2999999999999999E-2</v>
      </c>
    </row>
    <row r="11" spans="1:10" ht="15.75" customHeight="1" x14ac:dyDescent="0.25">
      <c r="A11" s="33" t="s">
        <v>245</v>
      </c>
      <c r="B11" s="144">
        <v>70101333</v>
      </c>
      <c r="C11" s="144">
        <v>82384381</v>
      </c>
      <c r="D11" s="144">
        <v>85527637</v>
      </c>
      <c r="E11" s="106">
        <f>E3*E10</f>
        <v>76966820.272</v>
      </c>
      <c r="F11" s="106">
        <f>F3*F10</f>
        <v>90820847.920959994</v>
      </c>
      <c r="G11" s="106">
        <f>G3*G10</f>
        <v>101465051.29729651</v>
      </c>
      <c r="H11" s="106">
        <f>H3*H10</f>
        <v>108194876.12823966</v>
      </c>
      <c r="I11" s="106">
        <f>I3*I10</f>
        <v>114390456.40337254</v>
      </c>
      <c r="J11" s="75">
        <f>IFERROR(J3*J10,0)</f>
        <v>123541692.91564235</v>
      </c>
    </row>
    <row r="13" spans="1:10" ht="18" customHeight="1" x14ac:dyDescent="0.25">
      <c r="A13" s="6" t="s">
        <v>246</v>
      </c>
      <c r="B13" s="6"/>
      <c r="C13" s="6"/>
      <c r="D13" s="6"/>
      <c r="E13" s="6"/>
      <c r="F13" s="6"/>
      <c r="G13" s="6"/>
      <c r="H13" s="6"/>
      <c r="I13" s="6"/>
      <c r="J13" s="6"/>
    </row>
    <row r="14" spans="1:10" ht="13.5" customHeight="1" x14ac:dyDescent="0.25">
      <c r="A14" s="21" t="s">
        <v>247</v>
      </c>
      <c r="B14" s="121">
        <v>1049899221</v>
      </c>
      <c r="C14" s="121">
        <v>1049899221</v>
      </c>
      <c r="D14" s="121">
        <v>1386784981</v>
      </c>
      <c r="E14" s="101">
        <f>D17</f>
        <v>1361529149</v>
      </c>
      <c r="F14" s="101">
        <f>E17</f>
        <v>1352293130.5673599</v>
      </c>
      <c r="G14" s="101">
        <f>F17</f>
        <v>1338670003.379216</v>
      </c>
      <c r="H14" s="101">
        <f>G17</f>
        <v>1322104280.7184329</v>
      </c>
      <c r="I14" s="101">
        <f>H17</f>
        <v>1305020879.2245004</v>
      </c>
      <c r="J14" s="145">
        <f>IFERROR(I17,0)</f>
        <v>1286570805.6110532</v>
      </c>
    </row>
    <row r="15" spans="1:10" ht="13.5" customHeight="1" x14ac:dyDescent="0.25">
      <c r="A15" s="77" t="s">
        <v>248</v>
      </c>
      <c r="B15" s="141">
        <f t="shared" ref="B15:I15" si="0">-B7</f>
        <v>79969309</v>
      </c>
      <c r="C15" s="141">
        <f t="shared" si="0"/>
        <v>96996613</v>
      </c>
      <c r="D15" s="141">
        <f t="shared" si="0"/>
        <v>69295651</v>
      </c>
      <c r="E15" s="141">
        <f t="shared" si="0"/>
        <v>67730801.839359984</v>
      </c>
      <c r="F15" s="141">
        <f t="shared" si="0"/>
        <v>77197720.732815996</v>
      </c>
      <c r="G15" s="141">
        <f t="shared" si="0"/>
        <v>84899328.636513397</v>
      </c>
      <c r="H15" s="141">
        <f t="shared" si="0"/>
        <v>91111474.634307086</v>
      </c>
      <c r="I15" s="141">
        <f t="shared" si="0"/>
        <v>95940382.789925367</v>
      </c>
      <c r="J15" s="76">
        <f>IFERROR(-J7,0)</f>
        <v>103615613.41311939</v>
      </c>
    </row>
    <row r="16" spans="1:10" ht="13.5" customHeight="1" x14ac:dyDescent="0.25">
      <c r="A16" s="77" t="s">
        <v>249</v>
      </c>
      <c r="B16" s="150">
        <f t="shared" ref="B16:I16" si="1">-B11</f>
        <v>-70101333</v>
      </c>
      <c r="C16" s="150">
        <f t="shared" si="1"/>
        <v>-82384381</v>
      </c>
      <c r="D16" s="150">
        <f t="shared" si="1"/>
        <v>-85527637</v>
      </c>
      <c r="E16" s="150">
        <f t="shared" si="1"/>
        <v>-76966820.272</v>
      </c>
      <c r="F16" s="150">
        <f t="shared" si="1"/>
        <v>-90820847.920959994</v>
      </c>
      <c r="G16" s="150">
        <f t="shared" si="1"/>
        <v>-101465051.29729651</v>
      </c>
      <c r="H16" s="150">
        <f t="shared" si="1"/>
        <v>-108194876.12823966</v>
      </c>
      <c r="I16" s="150">
        <f t="shared" si="1"/>
        <v>-114390456.40337254</v>
      </c>
      <c r="J16" s="151">
        <f>IFERROR(-J11,0)</f>
        <v>-123541692.91564235</v>
      </c>
    </row>
    <row r="17" spans="1:10" ht="15.75" customHeight="1" x14ac:dyDescent="0.25">
      <c r="A17" s="33" t="s">
        <v>250</v>
      </c>
      <c r="B17" s="144">
        <v>1049899221</v>
      </c>
      <c r="C17" s="144">
        <v>1386784981</v>
      </c>
      <c r="D17" s="144">
        <v>1361529149</v>
      </c>
      <c r="E17" s="106">
        <f>E14+E15+E16</f>
        <v>1352293130.5673599</v>
      </c>
      <c r="F17" s="106">
        <f>F14+F15+F16</f>
        <v>1338670003.379216</v>
      </c>
      <c r="G17" s="106">
        <f>G14+G15+G16</f>
        <v>1322104280.7184329</v>
      </c>
      <c r="H17" s="106">
        <f>H14+H15+H16</f>
        <v>1305020879.2245004</v>
      </c>
      <c r="I17" s="106">
        <f>I14+I15+I16</f>
        <v>1286570805.6110532</v>
      </c>
      <c r="J17" s="75">
        <f>IFERROR(I17+J15+J16,0)</f>
        <v>1266644726.1085303</v>
      </c>
    </row>
  </sheetData>
  <mergeCells count="4">
    <mergeCell ref="A1:J1"/>
    <mergeCell ref="A5:J5"/>
    <mergeCell ref="A9:J9"/>
    <mergeCell ref="A13:J1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showGridLines="0" zoomScale="145" zoomScaleNormal="145" workbookViewId="0">
      <pane ySplit="2" topLeftCell="A3" activePane="bottomLeft" state="frozen"/>
      <selection pane="bottomLeft" activeCell="B18" sqref="B18"/>
    </sheetView>
  </sheetViews>
  <sheetFormatPr baseColWidth="10" defaultColWidth="8.7109375" defaultRowHeight="15" x14ac:dyDescent="0.25"/>
  <cols>
    <col min="1" max="1" width="38" style="9" customWidth="1"/>
    <col min="2" max="2" width="16" style="9" customWidth="1"/>
    <col min="3" max="10" width="12" style="9" customWidth="1"/>
    <col min="11" max="16384" width="8.7109375" style="9"/>
  </cols>
  <sheetData>
    <row r="1" spans="1:10" ht="24" customHeight="1" x14ac:dyDescent="0.25">
      <c r="A1" s="8" t="s">
        <v>251</v>
      </c>
      <c r="B1" s="8"/>
      <c r="C1" s="8"/>
      <c r="D1" s="8"/>
      <c r="E1" s="8"/>
      <c r="F1" s="8"/>
      <c r="G1" s="8"/>
      <c r="H1" s="8"/>
      <c r="I1" s="8"/>
      <c r="J1" s="8"/>
    </row>
    <row r="2" spans="1:10" ht="18" customHeight="1" x14ac:dyDescent="0.25">
      <c r="B2" s="90" t="s">
        <v>77</v>
      </c>
      <c r="C2" s="90" t="s">
        <v>78</v>
      </c>
      <c r="D2" s="90" t="s">
        <v>79</v>
      </c>
      <c r="E2" s="91" t="s">
        <v>80</v>
      </c>
      <c r="F2" s="91" t="s">
        <v>81</v>
      </c>
      <c r="G2" s="91" t="s">
        <v>82</v>
      </c>
      <c r="H2" s="91" t="s">
        <v>83</v>
      </c>
      <c r="I2" s="91" t="s">
        <v>84</v>
      </c>
      <c r="J2" s="142" t="s">
        <v>174</v>
      </c>
    </row>
    <row r="3" spans="1:10" ht="18" customHeight="1" x14ac:dyDescent="0.25">
      <c r="A3" s="7" t="s">
        <v>252</v>
      </c>
      <c r="B3" s="7"/>
      <c r="C3" s="7"/>
      <c r="D3" s="7"/>
      <c r="E3" s="7"/>
      <c r="F3" s="7"/>
      <c r="G3" s="7"/>
      <c r="H3" s="7"/>
      <c r="I3" s="7"/>
      <c r="J3" s="7"/>
    </row>
    <row r="4" spans="1:10" ht="13.5" customHeight="1" x14ac:dyDescent="0.25">
      <c r="A4" s="21" t="s">
        <v>253</v>
      </c>
      <c r="B4" s="124" t="s">
        <v>206</v>
      </c>
      <c r="C4" s="124">
        <v>320918859</v>
      </c>
      <c r="D4" s="124">
        <v>224818416</v>
      </c>
      <c r="E4" s="141">
        <f>D7</f>
        <v>297908081</v>
      </c>
      <c r="F4" s="141">
        <f>E7</f>
        <v>247908081</v>
      </c>
      <c r="G4" s="141">
        <f>F7</f>
        <v>197908081</v>
      </c>
      <c r="H4" s="141">
        <f>G7</f>
        <v>147908081</v>
      </c>
      <c r="I4" s="141">
        <f>H7</f>
        <v>97908081</v>
      </c>
      <c r="J4" s="76">
        <f>IFERROR(I7,0)</f>
        <v>47908081</v>
      </c>
    </row>
    <row r="5" spans="1:10" ht="13.5" customHeight="1" x14ac:dyDescent="0.25">
      <c r="A5" s="77" t="s">
        <v>254</v>
      </c>
      <c r="B5" s="124">
        <v>461562669</v>
      </c>
      <c r="C5" s="124">
        <v>434282697</v>
      </c>
      <c r="D5" s="124">
        <v>344451056</v>
      </c>
      <c r="E5" s="94">
        <v>0</v>
      </c>
      <c r="F5" s="94">
        <v>0</v>
      </c>
      <c r="G5" s="94">
        <v>0</v>
      </c>
      <c r="H5" s="94">
        <v>0</v>
      </c>
      <c r="I5" s="94">
        <v>0</v>
      </c>
      <c r="J5" s="152">
        <f>IFERROR(INPUTS!I146,0)</f>
        <v>0</v>
      </c>
    </row>
    <row r="6" spans="1:10" ht="13.5" customHeight="1" x14ac:dyDescent="0.25">
      <c r="A6" s="77" t="s">
        <v>255</v>
      </c>
      <c r="B6" s="124">
        <v>-241416164</v>
      </c>
      <c r="C6" s="124">
        <v>-413687991</v>
      </c>
      <c r="D6" s="124">
        <v>-283309579</v>
      </c>
      <c r="E6" s="139">
        <f>INPUTS!E145</f>
        <v>-50000000</v>
      </c>
      <c r="F6" s="139">
        <f>INPUTS!F145</f>
        <v>-50000000</v>
      </c>
      <c r="G6" s="139">
        <f>INPUTS!G145</f>
        <v>-50000000</v>
      </c>
      <c r="H6" s="139">
        <f>INPUTS!H145</f>
        <v>-50000000</v>
      </c>
      <c r="I6" s="139">
        <f>INPUTS!I145</f>
        <v>-50000000</v>
      </c>
      <c r="J6" s="69">
        <f>IFERROR(-INPUTS!I145,0)</f>
        <v>50000000</v>
      </c>
    </row>
    <row r="7" spans="1:10" ht="15.75" customHeight="1" x14ac:dyDescent="0.25">
      <c r="A7" s="33" t="s">
        <v>256</v>
      </c>
      <c r="B7" s="144">
        <v>320918859</v>
      </c>
      <c r="C7" s="144">
        <v>224818416</v>
      </c>
      <c r="D7" s="144">
        <v>297908081</v>
      </c>
      <c r="E7" s="106">
        <f>E4+E5+E6</f>
        <v>247908081</v>
      </c>
      <c r="F7" s="106">
        <f>F4+F5+F6</f>
        <v>197908081</v>
      </c>
      <c r="G7" s="106">
        <f>G4+G5+G6</f>
        <v>147908081</v>
      </c>
      <c r="H7" s="106">
        <f>H4+H5+H6</f>
        <v>97908081</v>
      </c>
      <c r="I7" s="106">
        <f>I4+I5+I6</f>
        <v>47908081</v>
      </c>
      <c r="J7" s="75">
        <f>IFERROR(J4+J5+J6,0)</f>
        <v>97908081</v>
      </c>
    </row>
    <row r="8" spans="1:10" ht="15.75" customHeight="1" x14ac:dyDescent="0.25">
      <c r="A8" s="33" t="s">
        <v>257</v>
      </c>
      <c r="B8" s="144">
        <v>159671181</v>
      </c>
      <c r="C8" s="144">
        <v>108557350</v>
      </c>
      <c r="D8" s="144">
        <v>57959601</v>
      </c>
      <c r="E8" s="106">
        <f>ABS((E4+E7)/2)*INPUTS!E144</f>
        <v>43665292.960000001</v>
      </c>
      <c r="F8" s="106">
        <f>ABS((F4+F7)/2)*INPUTS!F144</f>
        <v>30092590.935000002</v>
      </c>
      <c r="G8" s="106">
        <f>ABS((G4+G7)/2)*INPUTS!G144</f>
        <v>19019888.91</v>
      </c>
      <c r="H8" s="106">
        <f>ABS((H4+H7)/2)*INPUTS!H144</f>
        <v>11061727.289999999</v>
      </c>
      <c r="I8" s="106">
        <f>ABS((I4+I7)/2)*INPUTS!I144</f>
        <v>5832646.4800000004</v>
      </c>
      <c r="J8" s="75">
        <f>IFERROR(((J4+J7)/2)*INPUTS!I144,0)</f>
        <v>5832646.4800000004</v>
      </c>
    </row>
    <row r="9" spans="1:10" ht="12" customHeight="1" x14ac:dyDescent="0.25">
      <c r="A9" s="78" t="s">
        <v>258</v>
      </c>
      <c r="B9" s="129" t="s">
        <v>206</v>
      </c>
      <c r="C9" s="153">
        <f t="shared" ref="C9:I9" si="0">IFERROR(C8/(ABS(C4+C7)/2),0)</f>
        <v>0.39783740262198508</v>
      </c>
      <c r="D9" s="154">
        <f t="shared" si="0"/>
        <v>0.22175880248136723</v>
      </c>
      <c r="E9" s="154">
        <f t="shared" si="0"/>
        <v>0.16</v>
      </c>
      <c r="F9" s="154">
        <f t="shared" si="0"/>
        <v>0.13500000000000001</v>
      </c>
      <c r="G9" s="154">
        <f t="shared" si="0"/>
        <v>0.11</v>
      </c>
      <c r="H9" s="154">
        <f t="shared" si="0"/>
        <v>0.09</v>
      </c>
      <c r="I9" s="154">
        <f t="shared" si="0"/>
        <v>0.08</v>
      </c>
      <c r="J9" s="70">
        <f>IFERROR(J8/((J4+J7)/2),0)</f>
        <v>0.08</v>
      </c>
    </row>
  </sheetData>
  <mergeCells count="2">
    <mergeCell ref="A1:J1"/>
    <mergeCell ref="A3:J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"/>
  <sheetViews>
    <sheetView showGridLines="0" zoomScale="115" zoomScaleNormal="115" workbookViewId="0">
      <pane ySplit="3" topLeftCell="A4" activePane="bottomLeft" state="frozen"/>
      <selection pane="bottomLeft" activeCell="E28" sqref="E28"/>
    </sheetView>
  </sheetViews>
  <sheetFormatPr baseColWidth="10" defaultColWidth="8.7109375" defaultRowHeight="15" x14ac:dyDescent="0.25"/>
  <cols>
    <col min="1" max="1" width="42" style="9" customWidth="1"/>
    <col min="2" max="2" width="14.7109375" style="9" customWidth="1"/>
    <col min="3" max="3" width="13" style="9" customWidth="1"/>
    <col min="4" max="4" width="16.5703125" style="9" customWidth="1"/>
    <col min="5" max="10" width="13" style="9" customWidth="1"/>
    <col min="11" max="16384" width="8.7109375" style="9"/>
  </cols>
  <sheetData>
    <row r="1" spans="1:10" ht="24" customHeight="1" x14ac:dyDescent="0.25">
      <c r="A1" s="8" t="s">
        <v>259</v>
      </c>
      <c r="B1" s="8"/>
      <c r="C1" s="8"/>
      <c r="D1" s="8"/>
      <c r="E1" s="8"/>
      <c r="F1" s="8"/>
      <c r="G1" s="8"/>
      <c r="H1" s="8"/>
      <c r="I1" s="8"/>
      <c r="J1" s="8"/>
    </row>
    <row r="2" spans="1:10" ht="13.5" customHeight="1" x14ac:dyDescent="0.25">
      <c r="A2" s="1" t="s">
        <v>260</v>
      </c>
      <c r="B2" s="1"/>
      <c r="C2" s="1"/>
      <c r="D2" s="1"/>
      <c r="E2" s="1"/>
      <c r="F2" s="1"/>
      <c r="G2" s="1"/>
      <c r="H2" s="1"/>
      <c r="I2" s="1"/>
      <c r="J2" s="1"/>
    </row>
    <row r="3" spans="1:10" ht="18" customHeight="1" x14ac:dyDescent="0.25">
      <c r="B3" s="90" t="s">
        <v>77</v>
      </c>
      <c r="C3" s="90" t="s">
        <v>78</v>
      </c>
      <c r="D3" s="90" t="s">
        <v>79</v>
      </c>
      <c r="E3" s="91" t="s">
        <v>80</v>
      </c>
      <c r="F3" s="91" t="s">
        <v>81</v>
      </c>
      <c r="G3" s="91" t="s">
        <v>82</v>
      </c>
      <c r="H3" s="91" t="s">
        <v>83</v>
      </c>
      <c r="I3" s="91" t="s">
        <v>84</v>
      </c>
      <c r="J3" s="142" t="s">
        <v>174</v>
      </c>
    </row>
    <row r="4" spans="1:10" ht="15.75" customHeight="1" x14ac:dyDescent="0.25">
      <c r="A4" s="19" t="s">
        <v>261</v>
      </c>
      <c r="B4" s="99">
        <f>REVENUE!B16</f>
        <v>919312709</v>
      </c>
      <c r="C4" s="99">
        <f>REVENUE!C16</f>
        <v>919760895</v>
      </c>
      <c r="D4" s="99">
        <f>REVENUE!D16</f>
        <v>848086622</v>
      </c>
      <c r="E4" s="99">
        <f>REVENUE!E16</f>
        <v>769668202.71999991</v>
      </c>
      <c r="F4" s="99">
        <f>REVENUE!F16</f>
        <v>908208479.20959985</v>
      </c>
      <c r="G4" s="99">
        <f>REVENUE!G16</f>
        <v>1035357666.2989439</v>
      </c>
      <c r="H4" s="99">
        <f>REVENUE!H16</f>
        <v>1138893432.9288385</v>
      </c>
      <c r="I4" s="99">
        <f>REVENUE!I16</f>
        <v>1230004907.5631456</v>
      </c>
      <c r="J4" s="79">
        <f>IFERROR(REVENUE!J13,0)</f>
        <v>1328405300.1681974</v>
      </c>
    </row>
    <row r="5" spans="1:10" ht="13.5" customHeight="1" x14ac:dyDescent="0.25">
      <c r="A5" s="21" t="s">
        <v>262</v>
      </c>
      <c r="B5" s="139">
        <f>COGS_OPEX!B7</f>
        <v>-688685257.99999988</v>
      </c>
      <c r="C5" s="139">
        <f>COGS_OPEX!C7</f>
        <v>-673789750.00000036</v>
      </c>
      <c r="D5" s="139">
        <f>COGS_OPEX!D7</f>
        <v>-663079908.99999988</v>
      </c>
      <c r="E5" s="139">
        <f>COGS_OPEX!E7</f>
        <v>-591105179.68895996</v>
      </c>
      <c r="F5" s="139">
        <f>COGS_OPEX!F7</f>
        <v>-694779486.59534395</v>
      </c>
      <c r="G5" s="139">
        <f>COGS_OPEX!G7</f>
        <v>-788942541.71979523</v>
      </c>
      <c r="H5" s="139">
        <f>COGS_OPEX!H7</f>
        <v>-863281222.16005957</v>
      </c>
      <c r="I5" s="139">
        <f>COGS_OPEX!I7</f>
        <v>-928653705.21017492</v>
      </c>
      <c r="J5" s="69">
        <f>IFERROR(COGS_OPEX!J7,0)</f>
        <v>0</v>
      </c>
    </row>
    <row r="6" spans="1:10" ht="15.75" customHeight="1" x14ac:dyDescent="0.25">
      <c r="A6" s="19" t="s">
        <v>263</v>
      </c>
      <c r="B6" s="106">
        <f t="shared" ref="B6:I6" si="0">B4+B5</f>
        <v>230627451.00000012</v>
      </c>
      <c r="C6" s="106">
        <f t="shared" si="0"/>
        <v>245971144.99999964</v>
      </c>
      <c r="D6" s="106">
        <f t="shared" si="0"/>
        <v>185006713.00000012</v>
      </c>
      <c r="E6" s="106">
        <f t="shared" si="0"/>
        <v>178563023.03103995</v>
      </c>
      <c r="F6" s="106">
        <f t="shared" si="0"/>
        <v>213428992.61425591</v>
      </c>
      <c r="G6" s="106">
        <f t="shared" si="0"/>
        <v>246415124.57914865</v>
      </c>
      <c r="H6" s="106">
        <f t="shared" si="0"/>
        <v>275612210.76877892</v>
      </c>
      <c r="I6" s="106">
        <f t="shared" si="0"/>
        <v>301351202.35297072</v>
      </c>
      <c r="J6" s="75">
        <f>IFERROR(J4-J5,0)</f>
        <v>1328405300.1681974</v>
      </c>
    </row>
    <row r="7" spans="1:10" ht="15" customHeight="1" x14ac:dyDescent="0.25">
      <c r="A7" s="46" t="s">
        <v>221</v>
      </c>
      <c r="B7" s="104">
        <f t="shared" ref="B7:J7" si="1">IFERROR(B6/B4,0)</f>
        <v>0.25086942532413103</v>
      </c>
      <c r="C7" s="104">
        <f t="shared" si="1"/>
        <v>0.26742944425790099</v>
      </c>
      <c r="D7" s="104">
        <f t="shared" si="1"/>
        <v>0.21814601032581801</v>
      </c>
      <c r="E7" s="104">
        <f t="shared" si="1"/>
        <v>0.23199999999999996</v>
      </c>
      <c r="F7" s="104">
        <f t="shared" si="1"/>
        <v>0.23499999999999993</v>
      </c>
      <c r="G7" s="104">
        <f t="shared" si="1"/>
        <v>0.23800000000000002</v>
      </c>
      <c r="H7" s="104">
        <f t="shared" si="1"/>
        <v>0.24199999999999999</v>
      </c>
      <c r="I7" s="104">
        <f t="shared" si="1"/>
        <v>0.24500000000000002</v>
      </c>
      <c r="J7" s="70">
        <f t="shared" si="1"/>
        <v>1</v>
      </c>
    </row>
    <row r="8" spans="1:10" ht="13.5" customHeight="1" x14ac:dyDescent="0.25">
      <c r="A8" s="21" t="s">
        <v>264</v>
      </c>
      <c r="B8" s="139">
        <f>COGS_OPEX!B13</f>
        <v>-84199865.000000045</v>
      </c>
      <c r="C8" s="139">
        <f>COGS_OPEX!C13</f>
        <v>-96261267.999999762</v>
      </c>
      <c r="D8" s="139">
        <f>COGS_OPEX!D13</f>
        <v>-94344774.999999702</v>
      </c>
      <c r="E8" s="139">
        <f>COGS_OPEX!E13</f>
        <v>-83124165.893759996</v>
      </c>
      <c r="F8" s="139">
        <f>COGS_OPEX!F13</f>
        <v>-97178307.275427178</v>
      </c>
      <c r="G8" s="139">
        <f>COGS_OPEX!G13</f>
        <v>-108712554.96138911</v>
      </c>
      <c r="H8" s="139">
        <f>COGS_OPEX!H13</f>
        <v>-118444917.02459919</v>
      </c>
      <c r="I8" s="139">
        <f>COGS_OPEX!I13</f>
        <v>-125460500.57144085</v>
      </c>
      <c r="J8" s="69">
        <f>IFERROR(COGS_OPEX!J13,0)</f>
        <v>0</v>
      </c>
    </row>
    <row r="9" spans="1:10" ht="13.5" customHeight="1" x14ac:dyDescent="0.25">
      <c r="A9" s="21" t="s">
        <v>265</v>
      </c>
      <c r="B9" s="105">
        <v>0</v>
      </c>
      <c r="C9" s="105">
        <v>0</v>
      </c>
      <c r="D9" s="105">
        <v>0</v>
      </c>
      <c r="E9" s="105">
        <v>0</v>
      </c>
      <c r="F9" s="105">
        <v>0</v>
      </c>
      <c r="G9" s="105">
        <v>0</v>
      </c>
      <c r="H9" s="105">
        <v>0</v>
      </c>
      <c r="I9" s="105">
        <v>0</v>
      </c>
      <c r="J9" s="69">
        <f>IFERROR(COGS_OPEX!J14,0)</f>
        <v>0</v>
      </c>
    </row>
    <row r="10" spans="1:10" ht="13.5" customHeight="1" x14ac:dyDescent="0.25">
      <c r="A10" s="21" t="s">
        <v>266</v>
      </c>
      <c r="B10" s="105">
        <v>0</v>
      </c>
      <c r="C10" s="105">
        <v>0</v>
      </c>
      <c r="D10" s="105">
        <v>0</v>
      </c>
      <c r="E10" s="105">
        <v>0</v>
      </c>
      <c r="F10" s="105">
        <v>0</v>
      </c>
      <c r="G10" s="105">
        <v>0</v>
      </c>
      <c r="H10" s="105">
        <v>0</v>
      </c>
      <c r="I10" s="105">
        <v>0</v>
      </c>
      <c r="J10" s="69">
        <f>IFERROR(COGS_OPEX!J15,0)</f>
        <v>0</v>
      </c>
    </row>
    <row r="11" spans="1:10" ht="13.5" customHeight="1" x14ac:dyDescent="0.25">
      <c r="A11" s="21" t="s">
        <v>224</v>
      </c>
      <c r="B11" s="139">
        <f>COGS_OPEX!B17</f>
        <v>-92384397.000000045</v>
      </c>
      <c r="C11" s="139">
        <f>COGS_OPEX!C17</f>
        <v>-100030342.99999976</v>
      </c>
      <c r="D11" s="139">
        <f>COGS_OPEX!D17</f>
        <v>-98564748.999999702</v>
      </c>
      <c r="E11" s="139">
        <f>COGS_OPEX!E17</f>
        <v>-83124165.893759996</v>
      </c>
      <c r="F11" s="139">
        <f>COGS_OPEX!F17</f>
        <v>-97178307.275427178</v>
      </c>
      <c r="G11" s="139">
        <f>COGS_OPEX!G17</f>
        <v>-108712554.96138911</v>
      </c>
      <c r="H11" s="139">
        <f>COGS_OPEX!H17</f>
        <v>-118444917.02459919</v>
      </c>
      <c r="I11" s="139">
        <f>COGS_OPEX!I17</f>
        <v>-125460500.57144085</v>
      </c>
      <c r="J11" s="76">
        <f>IFERROR(J8+J9+J10,0)</f>
        <v>0</v>
      </c>
    </row>
    <row r="12" spans="1:10" ht="15.75" customHeight="1" x14ac:dyDescent="0.25">
      <c r="A12" s="19" t="s">
        <v>267</v>
      </c>
      <c r="B12" s="155">
        <f>COGS_OPEX!B20</f>
        <v>138243054.00000006</v>
      </c>
      <c r="C12" s="155">
        <f>COGS_OPEX!C20</f>
        <v>145940801.99999988</v>
      </c>
      <c r="D12" s="155">
        <f>COGS_OPEX!D20</f>
        <v>86441964.000000417</v>
      </c>
      <c r="E12" s="155">
        <f>COGS_OPEX!E20</f>
        <v>95438857.137279958</v>
      </c>
      <c r="F12" s="155">
        <f>COGS_OPEX!F20</f>
        <v>116250685.33882873</v>
      </c>
      <c r="G12" s="155">
        <f>COGS_OPEX!G20</f>
        <v>137702569.61775953</v>
      </c>
      <c r="H12" s="155">
        <f>COGS_OPEX!H20</f>
        <v>157167293.74417973</v>
      </c>
      <c r="I12" s="155">
        <f>COGS_OPEX!I20</f>
        <v>175890701.78152987</v>
      </c>
      <c r="J12" s="75">
        <f>IFERROR(J6-J11,0)</f>
        <v>1328405300.1681974</v>
      </c>
    </row>
    <row r="13" spans="1:10" ht="15" customHeight="1" x14ac:dyDescent="0.25">
      <c r="A13" s="46" t="s">
        <v>227</v>
      </c>
      <c r="B13" s="104">
        <f t="shared" ref="B13:J13" si="2">IFERROR(B12/B4,0)</f>
        <v>0.15037652873348895</v>
      </c>
      <c r="C13" s="104">
        <f t="shared" si="2"/>
        <v>0.1586725449987737</v>
      </c>
      <c r="D13" s="104">
        <f t="shared" si="2"/>
        <v>0.10192586671883667</v>
      </c>
      <c r="E13" s="104">
        <f t="shared" si="2"/>
        <v>0.12399999999999996</v>
      </c>
      <c r="F13" s="104">
        <f t="shared" si="2"/>
        <v>0.12799999999999995</v>
      </c>
      <c r="G13" s="104">
        <f t="shared" si="2"/>
        <v>0.13299999999999998</v>
      </c>
      <c r="H13" s="104">
        <f t="shared" si="2"/>
        <v>0.13800000000000001</v>
      </c>
      <c r="I13" s="104">
        <f t="shared" si="2"/>
        <v>0.14300000000000004</v>
      </c>
      <c r="J13" s="70">
        <f t="shared" si="2"/>
        <v>1</v>
      </c>
    </row>
    <row r="14" spans="1:10" ht="13.5" customHeight="1" x14ac:dyDescent="0.25">
      <c r="A14" s="21" t="s">
        <v>268</v>
      </c>
      <c r="B14" s="139">
        <f>-DEBT!B8</f>
        <v>-159671181</v>
      </c>
      <c r="C14" s="139">
        <f>-DEBT!C8</f>
        <v>-108557350</v>
      </c>
      <c r="D14" s="139">
        <f>-DEBT!D8</f>
        <v>-57959601</v>
      </c>
      <c r="E14" s="139">
        <f>-DEBT!E8</f>
        <v>-43665292.960000001</v>
      </c>
      <c r="F14" s="139">
        <f>-DEBT!F8</f>
        <v>-30092590.935000002</v>
      </c>
      <c r="G14" s="139">
        <f>-DEBT!G8</f>
        <v>-19019888.91</v>
      </c>
      <c r="H14" s="139">
        <f>-DEBT!H8</f>
        <v>-11061727.289999999</v>
      </c>
      <c r="I14" s="139">
        <f>-DEBT!I8</f>
        <v>-5832646.4800000004</v>
      </c>
      <c r="J14" s="69">
        <f>IFERROR(DEBT!J8,0)</f>
        <v>5832646.4800000004</v>
      </c>
    </row>
    <row r="15" spans="1:10" ht="13.5" customHeight="1" x14ac:dyDescent="0.25">
      <c r="A15" s="21" t="s">
        <v>269</v>
      </c>
      <c r="B15" s="105">
        <v>-100312435</v>
      </c>
      <c r="C15" s="105">
        <v>182341501</v>
      </c>
      <c r="D15" s="105">
        <v>-49076899</v>
      </c>
      <c r="E15" s="139">
        <f>INPUTS!E150</f>
        <v>-15000000</v>
      </c>
      <c r="F15" s="139">
        <f>INPUTS!F150</f>
        <v>-10000000</v>
      </c>
      <c r="G15" s="139">
        <f>INPUTS!G150</f>
        <v>-5000000</v>
      </c>
      <c r="H15" s="139">
        <f>INPUTS!H150</f>
        <v>-3000000</v>
      </c>
      <c r="I15" s="139">
        <f>INPUTS!I150</f>
        <v>-2000000</v>
      </c>
      <c r="J15" s="69">
        <f>IFERROR(INPUTS!I150,0)</f>
        <v>-2000000</v>
      </c>
    </row>
    <row r="16" spans="1:10" ht="15.75" customHeight="1" x14ac:dyDescent="0.25">
      <c r="A16" s="19" t="s">
        <v>270</v>
      </c>
      <c r="B16" s="106">
        <f t="shared" ref="B16:I16" si="3">B12+B14+B15</f>
        <v>-121740561.99999994</v>
      </c>
      <c r="C16" s="106">
        <f t="shared" si="3"/>
        <v>219724952.99999988</v>
      </c>
      <c r="D16" s="106">
        <f t="shared" si="3"/>
        <v>-20594535.999999583</v>
      </c>
      <c r="E16" s="106">
        <f t="shared" si="3"/>
        <v>36773564.177279957</v>
      </c>
      <c r="F16" s="106">
        <f t="shared" si="3"/>
        <v>76158094.403828725</v>
      </c>
      <c r="G16" s="106">
        <f t="shared" si="3"/>
        <v>113682680.70775953</v>
      </c>
      <c r="H16" s="106">
        <f t="shared" si="3"/>
        <v>143105566.45417973</v>
      </c>
      <c r="I16" s="106">
        <f t="shared" si="3"/>
        <v>168058055.30152988</v>
      </c>
      <c r="J16" s="75">
        <f>IFERROR(J12-J14+J15,0)</f>
        <v>1320572653.6881974</v>
      </c>
    </row>
    <row r="17" spans="1:10" ht="13.5" customHeight="1" x14ac:dyDescent="0.25">
      <c r="A17" s="21" t="s">
        <v>271</v>
      </c>
      <c r="B17" s="105">
        <v>-16849960</v>
      </c>
      <c r="C17" s="105">
        <v>-126188528</v>
      </c>
      <c r="D17" s="105">
        <v>-14544529</v>
      </c>
      <c r="E17" s="141">
        <f>E16*INPUTS!E135</f>
        <v>12870747.462047985</v>
      </c>
      <c r="F17" s="141">
        <f>F16*INPUTS!F135</f>
        <v>26655333.041340053</v>
      </c>
      <c r="G17" s="141">
        <f>G16*INPUTS!G135</f>
        <v>39788938.247715831</v>
      </c>
      <c r="H17" s="141">
        <f>H16*INPUTS!H135</f>
        <v>50086948.258962907</v>
      </c>
      <c r="I17" s="141">
        <f>I16*INPUTS!I135</f>
        <v>58820319.355535455</v>
      </c>
      <c r="J17" s="76">
        <f>IFERROR(J16*INPUTS!I135,0)</f>
        <v>462200428.79086906</v>
      </c>
    </row>
    <row r="18" spans="1:10" ht="15.75" customHeight="1" x14ac:dyDescent="0.25">
      <c r="A18" s="19" t="s">
        <v>272</v>
      </c>
      <c r="B18" s="140">
        <v>21080659</v>
      </c>
      <c r="C18" s="140">
        <v>202093775</v>
      </c>
      <c r="D18" s="140">
        <v>22820536</v>
      </c>
      <c r="E18" s="106">
        <f>E16-ABS(E17)</f>
        <v>23902816.71523197</v>
      </c>
      <c r="F18" s="106">
        <f>F16-ABS(F17)</f>
        <v>49502761.362488672</v>
      </c>
      <c r="G18" s="106">
        <f>G16-ABS(G17)</f>
        <v>73893742.460043699</v>
      </c>
      <c r="H18" s="106">
        <f>H16-ABS(H17)</f>
        <v>93018618.195216835</v>
      </c>
      <c r="I18" s="106">
        <f>I16-ABS(I17)</f>
        <v>109237735.94599444</v>
      </c>
      <c r="J18" s="75">
        <f>IFERROR(J16-J17,0)</f>
        <v>858372224.89732838</v>
      </c>
    </row>
    <row r="19" spans="1:10" ht="15" customHeight="1" x14ac:dyDescent="0.25">
      <c r="A19" s="46" t="s">
        <v>273</v>
      </c>
      <c r="B19" s="104">
        <f t="shared" ref="B19:J19" si="4">IFERROR(B18/B4,0)</f>
        <v>2.2930890428928031E-2</v>
      </c>
      <c r="C19" s="104">
        <f t="shared" si="4"/>
        <v>0.2197242523558256</v>
      </c>
      <c r="D19" s="104">
        <f t="shared" si="4"/>
        <v>2.6908260793199967E-2</v>
      </c>
      <c r="E19" s="104">
        <f t="shared" si="4"/>
        <v>3.1056001314280164E-2</v>
      </c>
      <c r="F19" s="104">
        <f t="shared" si="4"/>
        <v>5.4505944940714687E-2</v>
      </c>
      <c r="G19" s="104">
        <f t="shared" si="4"/>
        <v>7.1370256738609972E-2</v>
      </c>
      <c r="H19" s="104">
        <f t="shared" si="4"/>
        <v>8.1674558396570299E-2</v>
      </c>
      <c r="I19" s="104">
        <f t="shared" si="4"/>
        <v>8.8810813090505022E-2</v>
      </c>
      <c r="J19" s="70">
        <f t="shared" si="4"/>
        <v>0.64616741952824541</v>
      </c>
    </row>
    <row r="20" spans="1:10" ht="13.5" customHeight="1" x14ac:dyDescent="0.25">
      <c r="A20" s="21" t="s">
        <v>274</v>
      </c>
      <c r="B20" s="139">
        <f>CAPEX_DA!B11</f>
        <v>70101333</v>
      </c>
      <c r="C20" s="139">
        <f>CAPEX_DA!C11</f>
        <v>82384381</v>
      </c>
      <c r="D20" s="139">
        <f>CAPEX_DA!D11</f>
        <v>85527637</v>
      </c>
      <c r="E20" s="139">
        <f>CAPEX_DA!E11</f>
        <v>76966820.272</v>
      </c>
      <c r="F20" s="139">
        <f>CAPEX_DA!F11</f>
        <v>90820847.920959994</v>
      </c>
      <c r="G20" s="139">
        <f>CAPEX_DA!G11</f>
        <v>101465051.29729651</v>
      </c>
      <c r="H20" s="139">
        <f>CAPEX_DA!H11</f>
        <v>108194876.12823966</v>
      </c>
      <c r="I20" s="139">
        <f>CAPEX_DA!I11</f>
        <v>114390456.40337254</v>
      </c>
      <c r="J20" s="69">
        <f>IFERROR(CAPEX_DA!J11,0)</f>
        <v>123541692.91564235</v>
      </c>
    </row>
    <row r="21" spans="1:10" ht="15.75" customHeight="1" x14ac:dyDescent="0.25">
      <c r="A21" s="19" t="s">
        <v>275</v>
      </c>
      <c r="B21" s="106">
        <f t="shared" ref="B21:I21" si="5">B12+B20</f>
        <v>208344387.00000006</v>
      </c>
      <c r="C21" s="106">
        <f t="shared" si="5"/>
        <v>228325182.99999988</v>
      </c>
      <c r="D21" s="106">
        <f t="shared" si="5"/>
        <v>171969601.00000042</v>
      </c>
      <c r="E21" s="106">
        <f t="shared" si="5"/>
        <v>172405677.40927994</v>
      </c>
      <c r="F21" s="106">
        <f t="shared" si="5"/>
        <v>207071533.25978872</v>
      </c>
      <c r="G21" s="106">
        <f t="shared" si="5"/>
        <v>239167620.91505605</v>
      </c>
      <c r="H21" s="106">
        <f t="shared" si="5"/>
        <v>265362169.87241939</v>
      </c>
      <c r="I21" s="106">
        <f t="shared" si="5"/>
        <v>290281158.18490243</v>
      </c>
      <c r="J21" s="75">
        <f>IFERROR(J12+J20,0)</f>
        <v>1451946993.0838397</v>
      </c>
    </row>
    <row r="22" spans="1:10" ht="15" customHeight="1" x14ac:dyDescent="0.25">
      <c r="A22" s="46" t="s">
        <v>276</v>
      </c>
      <c r="B22" s="104">
        <f t="shared" ref="B22:J22" si="6">IFERROR(B21/B4,0)</f>
        <v>0.22663059583569845</v>
      </c>
      <c r="C22" s="104">
        <f t="shared" si="6"/>
        <v>0.24824406456201845</v>
      </c>
      <c r="D22" s="104">
        <f t="shared" si="6"/>
        <v>0.20277362776275512</v>
      </c>
      <c r="E22" s="104">
        <f t="shared" si="6"/>
        <v>0.22399999999999995</v>
      </c>
      <c r="F22" s="104">
        <f t="shared" si="6"/>
        <v>0.22799999999999995</v>
      </c>
      <c r="G22" s="104">
        <f t="shared" si="6"/>
        <v>0.23100000000000001</v>
      </c>
      <c r="H22" s="104">
        <f t="shared" si="6"/>
        <v>0.23300000000000001</v>
      </c>
      <c r="I22" s="104">
        <f t="shared" si="6"/>
        <v>0.23600000000000004</v>
      </c>
      <c r="J22" s="70">
        <f t="shared" si="6"/>
        <v>1.093</v>
      </c>
    </row>
    <row r="23" spans="1:10" ht="13.5" customHeight="1" x14ac:dyDescent="0.25">
      <c r="A23" s="21" t="s">
        <v>277</v>
      </c>
      <c r="B23" s="156">
        <f>IFERROR(B18/INPUTS!B149,0)</f>
        <v>0</v>
      </c>
      <c r="C23" s="156">
        <f>IFERROR(C18/INPUTS!C149,0)</f>
        <v>0</v>
      </c>
      <c r="D23" s="156">
        <f>IFERROR(D18/INPUTS!D149,0)</f>
        <v>0</v>
      </c>
      <c r="E23" s="156">
        <f>IFERROR(E18/INPUTS!E149,0)</f>
        <v>40.103647685221738</v>
      </c>
      <c r="F23" s="156">
        <f>IFERROR(F18/INPUTS!F149,0)</f>
        <v>83.054701242040906</v>
      </c>
      <c r="G23" s="156">
        <f>IFERROR(G18/INPUTS!G149,0)</f>
        <v>123.97738095325322</v>
      </c>
      <c r="H23" s="156">
        <f>IFERROR(H18/INPUTS!H149,0)</f>
        <v>156.06469884739397</v>
      </c>
      <c r="I23" s="156">
        <f>IFERROR(I18/INPUTS!I149,0)</f>
        <v>183.27679655920116</v>
      </c>
      <c r="J23" s="80">
        <f>IFERROR(J18/INPUTS!I149,0)</f>
        <v>1440.1590281251629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1"/>
  <sheetViews>
    <sheetView showGridLines="0" zoomScale="130" zoomScaleNormal="130" workbookViewId="0">
      <pane ySplit="3" topLeftCell="A16" activePane="bottomLeft" state="frozen"/>
      <selection pane="bottomLeft" activeCell="L32" sqref="L32"/>
    </sheetView>
  </sheetViews>
  <sheetFormatPr baseColWidth="10" defaultColWidth="8.7109375" defaultRowHeight="15" x14ac:dyDescent="0.25"/>
  <cols>
    <col min="1" max="1" width="42" style="9" customWidth="1"/>
    <col min="2" max="2" width="14" style="9" customWidth="1"/>
    <col min="3" max="10" width="13" style="9" customWidth="1"/>
    <col min="11" max="16384" width="8.7109375" style="9"/>
  </cols>
  <sheetData>
    <row r="1" spans="1:10" ht="24" customHeight="1" x14ac:dyDescent="0.25">
      <c r="A1" s="8" t="s">
        <v>278</v>
      </c>
      <c r="B1" s="8"/>
      <c r="C1" s="8"/>
      <c r="D1" s="8"/>
      <c r="E1" s="8"/>
      <c r="F1" s="8"/>
      <c r="G1" s="8"/>
      <c r="H1" s="8"/>
      <c r="I1" s="8"/>
      <c r="J1" s="8"/>
    </row>
    <row r="2" spans="1:10" ht="13.5" customHeight="1" x14ac:dyDescent="0.25">
      <c r="A2" s="1" t="s">
        <v>279</v>
      </c>
      <c r="B2" s="1"/>
      <c r="C2" s="1"/>
      <c r="D2" s="1"/>
      <c r="E2" s="1"/>
      <c r="F2" s="1"/>
      <c r="G2" s="1"/>
      <c r="H2" s="1"/>
      <c r="I2" s="1"/>
      <c r="J2" s="1"/>
    </row>
    <row r="3" spans="1:10" ht="18" customHeight="1" x14ac:dyDescent="0.25">
      <c r="B3" s="90" t="s">
        <v>77</v>
      </c>
      <c r="C3" s="90" t="s">
        <v>78</v>
      </c>
      <c r="D3" s="90" t="s">
        <v>79</v>
      </c>
      <c r="E3" s="91" t="s">
        <v>80</v>
      </c>
      <c r="F3" s="91" t="s">
        <v>81</v>
      </c>
      <c r="G3" s="91" t="s">
        <v>82</v>
      </c>
      <c r="H3" s="91" t="s">
        <v>83</v>
      </c>
      <c r="I3" s="91" t="s">
        <v>84</v>
      </c>
      <c r="J3" s="142" t="s">
        <v>174</v>
      </c>
    </row>
    <row r="4" spans="1:10" ht="18" customHeight="1" x14ac:dyDescent="0.25">
      <c r="A4" s="6" t="s">
        <v>280</v>
      </c>
      <c r="B4" s="6"/>
      <c r="C4" s="6"/>
      <c r="D4" s="6"/>
      <c r="E4" s="6"/>
      <c r="F4" s="6"/>
      <c r="G4" s="6"/>
      <c r="H4" s="6"/>
      <c r="I4" s="6"/>
      <c r="J4" s="6"/>
    </row>
    <row r="5" spans="1:10" ht="13.5" customHeight="1" x14ac:dyDescent="0.25">
      <c r="A5" s="21" t="s">
        <v>281</v>
      </c>
      <c r="B5" s="157">
        <v>14664561</v>
      </c>
      <c r="C5" s="157">
        <v>11251842</v>
      </c>
      <c r="D5" s="157">
        <v>31415663</v>
      </c>
      <c r="E5" s="139">
        <f>CF!E28</f>
        <v>47184414.049698606</v>
      </c>
      <c r="F5" s="139">
        <f>CF!F28</f>
        <v>27079614.362894386</v>
      </c>
      <c r="G5" s="139">
        <f>CF!G28</f>
        <v>46469140.414540216</v>
      </c>
      <c r="H5" s="139">
        <f>CF!H28</f>
        <v>92008074.463199809</v>
      </c>
      <c r="I5" s="139">
        <f>CF!I28</f>
        <v>163470973.34129059</v>
      </c>
      <c r="J5" s="69">
        <f>IFERROR(CF!J28,0)</f>
        <v>1387054702.4677739</v>
      </c>
    </row>
    <row r="6" spans="1:10" ht="13.5" customHeight="1" x14ac:dyDescent="0.25">
      <c r="A6" s="21" t="s">
        <v>282</v>
      </c>
      <c r="B6" s="139">
        <f>NWC!B13</f>
        <v>49539392</v>
      </c>
      <c r="C6" s="139">
        <f>NWC!C13</f>
        <v>64786808</v>
      </c>
      <c r="D6" s="139">
        <f>NWC!D13</f>
        <v>76818812</v>
      </c>
      <c r="E6" s="139">
        <f>NWC!E13</f>
        <v>69586440.245917797</v>
      </c>
      <c r="F6" s="139">
        <f>NWC!F13</f>
        <v>82111999.490183011</v>
      </c>
      <c r="G6" s="139">
        <f>NWC!G13</f>
        <v>90771083.072784126</v>
      </c>
      <c r="H6" s="139">
        <f>NWC!H13</f>
        <v>99848191.38006255</v>
      </c>
      <c r="I6" s="139">
        <f>NWC!I13</f>
        <v>104466170.23139045</v>
      </c>
      <c r="J6" s="69">
        <f>IFERROR(NWC!J13,0)</f>
        <v>0</v>
      </c>
    </row>
    <row r="7" spans="1:10" ht="13.5" customHeight="1" x14ac:dyDescent="0.25">
      <c r="A7" s="21" t="s">
        <v>237</v>
      </c>
      <c r="B7" s="139">
        <f>NWC!B14</f>
        <v>166558064</v>
      </c>
      <c r="C7" s="139">
        <f>NWC!C14</f>
        <v>265417656</v>
      </c>
      <c r="D7" s="139">
        <f>NWC!D14</f>
        <v>294183434</v>
      </c>
      <c r="E7" s="139">
        <f>NWC!E14</f>
        <v>255875666.82426211</v>
      </c>
      <c r="F7" s="139">
        <f>NWC!F14</f>
        <v>295043343.62268031</v>
      </c>
      <c r="G7" s="139">
        <f>NWC!G14</f>
        <v>324222962.35060078</v>
      </c>
      <c r="H7" s="139">
        <f>NWC!H14</f>
        <v>342947334.83070856</v>
      </c>
      <c r="I7" s="139">
        <f>NWC!I14</f>
        <v>356195941.72445065</v>
      </c>
      <c r="J7" s="69">
        <f>IFERROR(NWC!J14,0)</f>
        <v>0</v>
      </c>
    </row>
    <row r="8" spans="1:10" ht="13.5" customHeight="1" x14ac:dyDescent="0.25">
      <c r="A8" s="21" t="s">
        <v>283</v>
      </c>
      <c r="B8" s="157">
        <v>51083290</v>
      </c>
      <c r="C8" s="157">
        <v>18956013</v>
      </c>
      <c r="D8" s="157">
        <v>59010307</v>
      </c>
      <c r="E8" s="141">
        <f>D8</f>
        <v>59010307</v>
      </c>
      <c r="F8" s="141">
        <f>E8</f>
        <v>59010307</v>
      </c>
      <c r="G8" s="141">
        <f>F8</f>
        <v>59010307</v>
      </c>
      <c r="H8" s="141">
        <f>G8</f>
        <v>59010307</v>
      </c>
      <c r="I8" s="141">
        <f>H8</f>
        <v>59010307</v>
      </c>
      <c r="J8" s="76">
        <f>IFERROR(I8,0)</f>
        <v>59010307</v>
      </c>
    </row>
    <row r="9" spans="1:10" ht="15.75" customHeight="1" x14ac:dyDescent="0.25">
      <c r="A9" s="19" t="s">
        <v>108</v>
      </c>
      <c r="B9" s="125">
        <f t="shared" ref="B9:I9" si="0">B5+B6+B7+B8</f>
        <v>281845307</v>
      </c>
      <c r="C9" s="125">
        <f t="shared" si="0"/>
        <v>360412319</v>
      </c>
      <c r="D9" s="125">
        <f t="shared" si="0"/>
        <v>461428216</v>
      </c>
      <c r="E9" s="125">
        <f t="shared" si="0"/>
        <v>431656828.11987853</v>
      </c>
      <c r="F9" s="125">
        <f t="shared" si="0"/>
        <v>463245264.47575772</v>
      </c>
      <c r="G9" s="125">
        <f t="shared" si="0"/>
        <v>520473492.83792514</v>
      </c>
      <c r="H9" s="125">
        <f t="shared" si="0"/>
        <v>593813907.67397094</v>
      </c>
      <c r="I9" s="125">
        <f t="shared" si="0"/>
        <v>683143392.29713166</v>
      </c>
      <c r="J9" s="159">
        <f>IFERROR(J5+J6+J7+J8,0)</f>
        <v>1446065009.4677739</v>
      </c>
    </row>
    <row r="10" spans="1:10" ht="13.5" customHeight="1" x14ac:dyDescent="0.25">
      <c r="A10" s="21" t="s">
        <v>284</v>
      </c>
      <c r="B10" s="139">
        <f>CAPEX_DA!B17</f>
        <v>1049899221</v>
      </c>
      <c r="C10" s="139">
        <f>CAPEX_DA!C17</f>
        <v>1386784981</v>
      </c>
      <c r="D10" s="139">
        <f>CAPEX_DA!D17</f>
        <v>1361529149</v>
      </c>
      <c r="E10" s="139">
        <f>CAPEX_DA!E17</f>
        <v>1352293130.5673599</v>
      </c>
      <c r="F10" s="139">
        <f>CAPEX_DA!F17</f>
        <v>1338670003.379216</v>
      </c>
      <c r="G10" s="139">
        <f>CAPEX_DA!G17</f>
        <v>1322104280.7184329</v>
      </c>
      <c r="H10" s="139">
        <f>CAPEX_DA!H17</f>
        <v>1305020879.2245004</v>
      </c>
      <c r="I10" s="139">
        <f>CAPEX_DA!I17</f>
        <v>1286570805.6110532</v>
      </c>
      <c r="J10" s="69">
        <f>IFERROR(CAPEX_DA!J17,0)</f>
        <v>1266644726.1085303</v>
      </c>
    </row>
    <row r="11" spans="1:10" ht="13.5" customHeight="1" x14ac:dyDescent="0.25">
      <c r="A11" s="21" t="s">
        <v>285</v>
      </c>
      <c r="B11" s="157">
        <v>692222</v>
      </c>
      <c r="C11" s="157">
        <v>910609</v>
      </c>
      <c r="D11" s="157">
        <v>910609</v>
      </c>
      <c r="E11" s="141">
        <f>D11</f>
        <v>910609</v>
      </c>
      <c r="F11" s="141">
        <f>E11</f>
        <v>910609</v>
      </c>
      <c r="G11" s="141">
        <f>F11</f>
        <v>910609</v>
      </c>
      <c r="H11" s="141">
        <f>G11</f>
        <v>910609</v>
      </c>
      <c r="I11" s="141">
        <f>H11</f>
        <v>910609</v>
      </c>
      <c r="J11" s="76">
        <f>IFERROR(I11,0)</f>
        <v>910609</v>
      </c>
    </row>
    <row r="12" spans="1:10" ht="13.5" customHeight="1" x14ac:dyDescent="0.25">
      <c r="A12" s="21" t="s">
        <v>286</v>
      </c>
      <c r="B12" s="157">
        <v>3452567</v>
      </c>
      <c r="C12" s="157">
        <v>3811125</v>
      </c>
      <c r="D12" s="157">
        <v>8710863</v>
      </c>
      <c r="E12" s="141">
        <f>D12*0.95</f>
        <v>8275319.8499999996</v>
      </c>
      <c r="F12" s="141">
        <f>E12*0.95</f>
        <v>7861553.857499999</v>
      </c>
      <c r="G12" s="141">
        <f>F12*0.95</f>
        <v>7468476.1646249983</v>
      </c>
      <c r="H12" s="141">
        <f>G12*0.95</f>
        <v>7095052.356393748</v>
      </c>
      <c r="I12" s="141">
        <f>H12*0.95</f>
        <v>6740299.7385740606</v>
      </c>
      <c r="J12" s="76">
        <f>IFERROR(I12,0)</f>
        <v>6740299.7385740606</v>
      </c>
    </row>
    <row r="13" spans="1:10" ht="13.5" customHeight="1" x14ac:dyDescent="0.25">
      <c r="A13" s="21" t="s">
        <v>287</v>
      </c>
      <c r="B13" s="157">
        <v>59007057</v>
      </c>
      <c r="C13" s="157">
        <v>101485290</v>
      </c>
      <c r="D13" s="157">
        <v>87019152</v>
      </c>
      <c r="E13" s="141">
        <f>D13</f>
        <v>87019152</v>
      </c>
      <c r="F13" s="141">
        <f>E13</f>
        <v>87019152</v>
      </c>
      <c r="G13" s="141">
        <f>F13</f>
        <v>87019152</v>
      </c>
      <c r="H13" s="141">
        <f>G13</f>
        <v>87019152</v>
      </c>
      <c r="I13" s="141">
        <f>H13</f>
        <v>87019152</v>
      </c>
      <c r="J13" s="76">
        <f>IFERROR(I13,0)</f>
        <v>87019152</v>
      </c>
    </row>
    <row r="14" spans="1:10" ht="18" customHeight="1" x14ac:dyDescent="0.25">
      <c r="A14" s="19" t="s">
        <v>288</v>
      </c>
      <c r="B14" s="125">
        <f t="shared" ref="B14:I14" si="1">B9+B10+B11+B12+B13</f>
        <v>1394896374</v>
      </c>
      <c r="C14" s="125">
        <f t="shared" si="1"/>
        <v>1853404324</v>
      </c>
      <c r="D14" s="125">
        <f t="shared" si="1"/>
        <v>1919597989</v>
      </c>
      <c r="E14" s="125">
        <f t="shared" si="1"/>
        <v>1880155039.5372384</v>
      </c>
      <c r="F14" s="125">
        <f t="shared" si="1"/>
        <v>1897706582.7124739</v>
      </c>
      <c r="G14" s="125">
        <f t="shared" si="1"/>
        <v>1937976010.720983</v>
      </c>
      <c r="H14" s="125">
        <f t="shared" si="1"/>
        <v>1993859600.2548652</v>
      </c>
      <c r="I14" s="125">
        <f t="shared" si="1"/>
        <v>2064384258.646759</v>
      </c>
      <c r="J14" s="159">
        <f>IFERROR(J9+J10+J11+J12+J13,0)</f>
        <v>2807379796.3148785</v>
      </c>
    </row>
    <row r="16" spans="1:10" ht="18" customHeight="1" x14ac:dyDescent="0.25">
      <c r="A16" s="7" t="s">
        <v>289</v>
      </c>
      <c r="B16" s="7"/>
      <c r="C16" s="7"/>
      <c r="D16" s="7"/>
      <c r="E16" s="7"/>
      <c r="F16" s="7"/>
      <c r="G16" s="7"/>
      <c r="H16" s="7"/>
      <c r="I16" s="7"/>
      <c r="J16" s="7"/>
    </row>
    <row r="17" spans="1:10" ht="13.5" customHeight="1" x14ac:dyDescent="0.25">
      <c r="A17" s="21" t="s">
        <v>290</v>
      </c>
      <c r="B17" s="139">
        <f>NWC!B15</f>
        <v>124681093</v>
      </c>
      <c r="C17" s="139">
        <f>NWC!C15</f>
        <v>123117540</v>
      </c>
      <c r="D17" s="139">
        <f>NWC!D15</f>
        <v>118175529</v>
      </c>
      <c r="E17" s="139">
        <f>NWC!E15</f>
        <v>105265305.97200656</v>
      </c>
      <c r="F17" s="139">
        <f>NWC!F15</f>
        <v>123727853.77725303</v>
      </c>
      <c r="G17" s="139">
        <f>NWC!G15</f>
        <v>140496617.01859367</v>
      </c>
      <c r="H17" s="139">
        <f>NWC!H15</f>
        <v>153735012.16549006</v>
      </c>
      <c r="I17" s="139">
        <f>NWC!I15</f>
        <v>165376687.22920921</v>
      </c>
      <c r="J17" s="69">
        <f>IFERROR(NWC!J15,0)</f>
        <v>0</v>
      </c>
    </row>
    <row r="18" spans="1:10" ht="13.5" customHeight="1" x14ac:dyDescent="0.25">
      <c r="A18" s="21" t="s">
        <v>291</v>
      </c>
      <c r="B18" s="157">
        <v>81061928</v>
      </c>
      <c r="C18" s="157">
        <v>132443340</v>
      </c>
      <c r="D18" s="157">
        <v>134272932</v>
      </c>
      <c r="E18" s="139">
        <f>ABS(INPUTS!E145)</f>
        <v>50000000</v>
      </c>
      <c r="F18" s="139">
        <f>ABS(INPUTS!F145)</f>
        <v>50000000</v>
      </c>
      <c r="G18" s="139">
        <f>ABS(INPUTS!G145)</f>
        <v>50000000</v>
      </c>
      <c r="H18" s="139">
        <f>ABS(INPUTS!H145)</f>
        <v>50000000</v>
      </c>
      <c r="I18" s="139">
        <f>ABS(INPUTS!I145)</f>
        <v>50000000</v>
      </c>
      <c r="J18" s="69">
        <f>IFERROR(INPUTS!I145,0)</f>
        <v>-50000000</v>
      </c>
    </row>
    <row r="19" spans="1:10" ht="13.5" customHeight="1" x14ac:dyDescent="0.25">
      <c r="A19" s="21" t="s">
        <v>292</v>
      </c>
      <c r="B19" s="157">
        <v>49823268</v>
      </c>
      <c r="C19" s="157">
        <v>96754456</v>
      </c>
      <c r="D19" s="157">
        <v>53653510</v>
      </c>
      <c r="E19" s="141">
        <f>D19*REVENUE!E16/REVENUE!D16</f>
        <v>48692432.518195696</v>
      </c>
      <c r="F19" s="141">
        <f>E19*REVENUE!F16/REVENUE!E16</f>
        <v>57457070.371470913</v>
      </c>
      <c r="G19" s="141">
        <f>F19*REVENUE!G16/REVENUE!F16</f>
        <v>65501060.223476849</v>
      </c>
      <c r="H19" s="141">
        <f>G19*REVENUE!H16/REVENUE!G16</f>
        <v>72051166.245824546</v>
      </c>
      <c r="I19" s="141">
        <f>H19*REVENUE!I16/REVENUE!H16</f>
        <v>77815259.545490503</v>
      </c>
      <c r="J19" s="76">
        <f>IFERROR(I19,0)</f>
        <v>77815259.545490503</v>
      </c>
    </row>
    <row r="20" spans="1:10" ht="15.75" customHeight="1" x14ac:dyDescent="0.25">
      <c r="A20" s="19" t="s">
        <v>125</v>
      </c>
      <c r="B20" s="125">
        <f t="shared" ref="B20:I20" si="2">B17+B18+B19</f>
        <v>255566289</v>
      </c>
      <c r="C20" s="125">
        <f t="shared" si="2"/>
        <v>352315336</v>
      </c>
      <c r="D20" s="125">
        <f t="shared" si="2"/>
        <v>306101971</v>
      </c>
      <c r="E20" s="125">
        <f t="shared" si="2"/>
        <v>203957738.49020225</v>
      </c>
      <c r="F20" s="125">
        <f t="shared" si="2"/>
        <v>231184924.14872396</v>
      </c>
      <c r="G20" s="125">
        <f t="shared" si="2"/>
        <v>255997677.24207053</v>
      </c>
      <c r="H20" s="125">
        <f t="shared" si="2"/>
        <v>275786178.41131461</v>
      </c>
      <c r="I20" s="125">
        <f t="shared" si="2"/>
        <v>293191946.77469969</v>
      </c>
      <c r="J20" s="159">
        <f>IFERROR(J17+J18+J19,0)</f>
        <v>27815259.545490503</v>
      </c>
    </row>
    <row r="21" spans="1:10" ht="13.5" customHeight="1" x14ac:dyDescent="0.25">
      <c r="A21" s="21" t="s">
        <v>293</v>
      </c>
      <c r="B21" s="157">
        <v>239856931</v>
      </c>
      <c r="C21" s="157">
        <v>92375076</v>
      </c>
      <c r="D21" s="157">
        <v>163635149</v>
      </c>
      <c r="E21" s="139">
        <f>DEBT!E7-E18</f>
        <v>197908081</v>
      </c>
      <c r="F21" s="139">
        <f>DEBT!F7-F18</f>
        <v>147908081</v>
      </c>
      <c r="G21" s="139">
        <f>DEBT!G7-G18</f>
        <v>97908081</v>
      </c>
      <c r="H21" s="139">
        <f>DEBT!H7-H18</f>
        <v>47908081</v>
      </c>
      <c r="I21" s="139">
        <f>DEBT!I7-I18</f>
        <v>-2091919</v>
      </c>
      <c r="J21" s="69">
        <f>IFERROR(DEBT!J7-J18,0)</f>
        <v>147908081</v>
      </c>
    </row>
    <row r="22" spans="1:10" ht="13.5" customHeight="1" x14ac:dyDescent="0.25">
      <c r="A22" s="21" t="s">
        <v>294</v>
      </c>
      <c r="B22" s="157">
        <v>255005111</v>
      </c>
      <c r="C22" s="157">
        <v>364611126</v>
      </c>
      <c r="D22" s="157">
        <v>362043734</v>
      </c>
      <c r="E22" s="141">
        <f>D22</f>
        <v>362043734</v>
      </c>
      <c r="F22" s="141">
        <f>E22</f>
        <v>362043734</v>
      </c>
      <c r="G22" s="141">
        <f>F22</f>
        <v>362043734</v>
      </c>
      <c r="H22" s="141">
        <f>G22</f>
        <v>362043734</v>
      </c>
      <c r="I22" s="141">
        <f>H22</f>
        <v>362043734</v>
      </c>
      <c r="J22" s="76">
        <f>IFERROR(I22,0)</f>
        <v>362043734</v>
      </c>
    </row>
    <row r="23" spans="1:10" ht="15.75" customHeight="1" x14ac:dyDescent="0.25">
      <c r="A23" s="19" t="s">
        <v>129</v>
      </c>
      <c r="B23" s="125">
        <f t="shared" ref="B23:I23" si="3">B20+B21+B22</f>
        <v>750428331</v>
      </c>
      <c r="C23" s="125">
        <f t="shared" si="3"/>
        <v>809301538</v>
      </c>
      <c r="D23" s="125">
        <f t="shared" si="3"/>
        <v>831780854</v>
      </c>
      <c r="E23" s="125">
        <f t="shared" si="3"/>
        <v>763909553.49020219</v>
      </c>
      <c r="F23" s="125">
        <f t="shared" si="3"/>
        <v>741136739.14872396</v>
      </c>
      <c r="G23" s="125">
        <f t="shared" si="3"/>
        <v>715949492.24207056</v>
      </c>
      <c r="H23" s="125">
        <f t="shared" si="3"/>
        <v>685737993.41131461</v>
      </c>
      <c r="I23" s="125">
        <f t="shared" si="3"/>
        <v>653143761.77469969</v>
      </c>
      <c r="J23" s="159">
        <f>IFERROR(J20+J21+J22,0)</f>
        <v>537767074.5454905</v>
      </c>
    </row>
    <row r="25" spans="1:10" ht="18" customHeight="1" x14ac:dyDescent="0.25">
      <c r="A25" s="6" t="s">
        <v>295</v>
      </c>
      <c r="B25" s="6"/>
      <c r="C25" s="6"/>
      <c r="D25" s="6"/>
      <c r="E25" s="6"/>
      <c r="F25" s="6"/>
      <c r="G25" s="6"/>
      <c r="H25" s="6"/>
      <c r="I25" s="6"/>
      <c r="J25" s="6"/>
    </row>
    <row r="26" spans="1:10" ht="13.5" customHeight="1" x14ac:dyDescent="0.25">
      <c r="A26" s="21" t="s">
        <v>296</v>
      </c>
      <c r="B26" s="157">
        <v>625773407</v>
      </c>
      <c r="C26" s="157">
        <v>841299507</v>
      </c>
      <c r="D26" s="157">
        <v>1043634038</v>
      </c>
      <c r="E26" s="141">
        <f>D26</f>
        <v>1043634038</v>
      </c>
      <c r="F26" s="141">
        <f>E26</f>
        <v>1043634038</v>
      </c>
      <c r="G26" s="141">
        <f>F26</f>
        <v>1043634038</v>
      </c>
      <c r="H26" s="141">
        <f>G26</f>
        <v>1043634038</v>
      </c>
      <c r="I26" s="141">
        <f>H26</f>
        <v>1043634038</v>
      </c>
      <c r="J26" s="76">
        <f>IFERROR(I26,0)</f>
        <v>1043634038</v>
      </c>
    </row>
    <row r="27" spans="1:10" ht="13.5" customHeight="1" x14ac:dyDescent="0.25">
      <c r="A27" s="21" t="s">
        <v>297</v>
      </c>
      <c r="B27" s="157">
        <v>14973197</v>
      </c>
      <c r="C27" s="157">
        <v>202334531</v>
      </c>
      <c r="D27" s="157">
        <v>23584613</v>
      </c>
      <c r="E27" s="141">
        <f>D27+PL!E18-INPUTS!E148*INPUTS!E149</f>
        <v>47487429.71523197</v>
      </c>
      <c r="F27" s="141">
        <f>E27+PL!F18-INPUTS!F148*INPUTS!F149</f>
        <v>96990191.077720642</v>
      </c>
      <c r="G27" s="141">
        <f>F27+PL!G18-INPUTS!G148*INPUTS!G149</f>
        <v>170883933.53776434</v>
      </c>
      <c r="H27" s="141">
        <f>G27+PL!H18-INPUTS!H148*INPUTS!H149</f>
        <v>263902551.73298118</v>
      </c>
      <c r="I27" s="141">
        <f>H27+PL!I18-INPUTS!I148*INPUTS!I149</f>
        <v>373140287.67897558</v>
      </c>
      <c r="J27" s="76">
        <f>IFERROR(I27+PL!J18-INPUTS!I148*INPUTS!I149,0)</f>
        <v>1231512512.576304</v>
      </c>
    </row>
    <row r="28" spans="1:10" ht="13.5" customHeight="1" x14ac:dyDescent="0.25">
      <c r="A28" s="21" t="s">
        <v>298</v>
      </c>
      <c r="B28" s="157">
        <v>-39119</v>
      </c>
      <c r="C28" s="157">
        <v>-292216</v>
      </c>
      <c r="D28" s="157">
        <v>-1056293</v>
      </c>
      <c r="E28" s="141">
        <f>E14-E23-E26-E27</f>
        <v>25124018.331804201</v>
      </c>
      <c r="F28" s="141">
        <f>F14-F23-F26-F27</f>
        <v>15945614.486029148</v>
      </c>
      <c r="G28" s="141">
        <f>G14-G23-G26-G27</f>
        <v>7508546.9411480129</v>
      </c>
      <c r="H28" s="141">
        <f>H14-H23-H26-H27</f>
        <v>585017.11056950688</v>
      </c>
      <c r="I28" s="141">
        <f>I14-I23-I26-I27</f>
        <v>-5533828.8069162369</v>
      </c>
      <c r="J28" s="76">
        <f>IFERROR(J14-J23-J26-J27,0)</f>
        <v>-5533828.80691576</v>
      </c>
    </row>
    <row r="29" spans="1:10" ht="15.75" customHeight="1" x14ac:dyDescent="0.25">
      <c r="A29" s="158" t="s">
        <v>299</v>
      </c>
      <c r="B29" s="125">
        <f t="shared" ref="B29:I29" si="4">B26+B27+B28</f>
        <v>640707485</v>
      </c>
      <c r="C29" s="125">
        <f t="shared" si="4"/>
        <v>1043341822</v>
      </c>
      <c r="D29" s="125">
        <f t="shared" si="4"/>
        <v>1066162358</v>
      </c>
      <c r="E29" s="125">
        <f t="shared" si="4"/>
        <v>1116245486.0470362</v>
      </c>
      <c r="F29" s="125">
        <f t="shared" si="4"/>
        <v>1156569843.5637498</v>
      </c>
      <c r="G29" s="125">
        <f t="shared" si="4"/>
        <v>1222026518.4789124</v>
      </c>
      <c r="H29" s="125">
        <f t="shared" si="4"/>
        <v>1308121606.8435507</v>
      </c>
      <c r="I29" s="125">
        <f t="shared" si="4"/>
        <v>1411240496.8720593</v>
      </c>
      <c r="J29" s="159">
        <f>IFERROR(J26+J27+J28,0)</f>
        <v>2269612721.7693882</v>
      </c>
    </row>
    <row r="30" spans="1:10" ht="18" customHeight="1" x14ac:dyDescent="0.25">
      <c r="A30" s="158" t="s">
        <v>300</v>
      </c>
      <c r="B30" s="125">
        <f t="shared" ref="B30:I30" si="5">B23+B29</f>
        <v>1391135816</v>
      </c>
      <c r="C30" s="125">
        <f t="shared" si="5"/>
        <v>1852643360</v>
      </c>
      <c r="D30" s="125">
        <f t="shared" si="5"/>
        <v>1897943212</v>
      </c>
      <c r="E30" s="125">
        <f t="shared" si="5"/>
        <v>1880155039.5372384</v>
      </c>
      <c r="F30" s="125">
        <f t="shared" si="5"/>
        <v>1897706582.7124739</v>
      </c>
      <c r="G30" s="125">
        <f t="shared" si="5"/>
        <v>1937976010.720983</v>
      </c>
      <c r="H30" s="125">
        <f t="shared" si="5"/>
        <v>1993859600.2548652</v>
      </c>
      <c r="I30" s="125">
        <f t="shared" si="5"/>
        <v>2064384258.646759</v>
      </c>
      <c r="J30" s="159">
        <f>IFERROR(J23+J29,0)</f>
        <v>2807379796.3148785</v>
      </c>
    </row>
    <row r="31" spans="1:10" ht="13.5" customHeight="1" x14ac:dyDescent="0.25">
      <c r="A31" s="78" t="s">
        <v>301</v>
      </c>
      <c r="B31" s="160">
        <f t="shared" ref="B31:I31" si="6">B14-B30</f>
        <v>3760558</v>
      </c>
      <c r="C31" s="160">
        <f t="shared" si="6"/>
        <v>760964</v>
      </c>
      <c r="D31" s="160">
        <f t="shared" si="6"/>
        <v>21654777</v>
      </c>
      <c r="E31" s="160">
        <f t="shared" si="6"/>
        <v>0</v>
      </c>
      <c r="F31" s="160">
        <f t="shared" si="6"/>
        <v>0</v>
      </c>
      <c r="G31" s="160">
        <f t="shared" si="6"/>
        <v>0</v>
      </c>
      <c r="H31" s="160">
        <f t="shared" si="6"/>
        <v>0</v>
      </c>
      <c r="I31" s="160">
        <f t="shared" si="6"/>
        <v>0</v>
      </c>
      <c r="J31" s="161">
        <f>IFERROR(J14-J30,0)</f>
        <v>0</v>
      </c>
    </row>
  </sheetData>
  <mergeCells count="5">
    <mergeCell ref="A1:J1"/>
    <mergeCell ref="A2:J2"/>
    <mergeCell ref="A4:J4"/>
    <mergeCell ref="A16:J16"/>
    <mergeCell ref="A25:J25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8"/>
  <sheetViews>
    <sheetView showGridLines="0" zoomScale="115" zoomScaleNormal="115" workbookViewId="0">
      <pane ySplit="3" topLeftCell="A4" activePane="bottomLeft" state="frozen"/>
      <selection pane="bottomLeft" activeCell="O19" sqref="O19"/>
    </sheetView>
  </sheetViews>
  <sheetFormatPr baseColWidth="10" defaultColWidth="8.7109375" defaultRowHeight="15" x14ac:dyDescent="0.25"/>
  <cols>
    <col min="1" max="1" width="42" style="9" customWidth="1"/>
    <col min="2" max="2" width="18.28515625" style="9" customWidth="1"/>
    <col min="3" max="10" width="13" style="9" customWidth="1"/>
    <col min="11" max="16384" width="8.7109375" style="9"/>
  </cols>
  <sheetData>
    <row r="1" spans="1:10" ht="24" customHeight="1" x14ac:dyDescent="0.25">
      <c r="A1" s="8" t="s">
        <v>302</v>
      </c>
      <c r="B1" s="8"/>
      <c r="C1" s="8"/>
      <c r="D1" s="8"/>
      <c r="E1" s="8"/>
      <c r="F1" s="8"/>
      <c r="G1" s="8"/>
      <c r="H1" s="8"/>
      <c r="I1" s="8"/>
      <c r="J1" s="8"/>
    </row>
    <row r="2" spans="1:10" ht="13.5" customHeight="1" x14ac:dyDescent="0.25">
      <c r="A2" s="1" t="s">
        <v>303</v>
      </c>
      <c r="B2" s="1"/>
      <c r="C2" s="1"/>
      <c r="D2" s="1"/>
      <c r="E2" s="1"/>
      <c r="F2" s="1"/>
      <c r="G2" s="1"/>
      <c r="H2" s="1"/>
      <c r="I2" s="1"/>
      <c r="J2" s="1"/>
    </row>
    <row r="3" spans="1:10" ht="18" customHeight="1" x14ac:dyDescent="0.25">
      <c r="B3" s="90" t="s">
        <v>77</v>
      </c>
      <c r="C3" s="90" t="s">
        <v>78</v>
      </c>
      <c r="D3" s="90" t="s">
        <v>79</v>
      </c>
      <c r="E3" s="91" t="s">
        <v>80</v>
      </c>
      <c r="F3" s="91" t="s">
        <v>81</v>
      </c>
      <c r="G3" s="91" t="s">
        <v>82</v>
      </c>
      <c r="H3" s="91" t="s">
        <v>83</v>
      </c>
      <c r="I3" s="91" t="s">
        <v>84</v>
      </c>
      <c r="J3" s="142" t="s">
        <v>174</v>
      </c>
    </row>
    <row r="4" spans="1:10" ht="18" customHeight="1" x14ac:dyDescent="0.25">
      <c r="A4" s="6" t="s">
        <v>304</v>
      </c>
      <c r="B4" s="6"/>
      <c r="C4" s="6"/>
      <c r="D4" s="6"/>
      <c r="E4" s="6"/>
      <c r="F4" s="6"/>
      <c r="G4" s="6"/>
      <c r="H4" s="6"/>
      <c r="I4" s="6"/>
      <c r="J4" s="6"/>
    </row>
    <row r="5" spans="1:10" ht="15.75" customHeight="1" x14ac:dyDescent="0.25">
      <c r="A5" s="19" t="s">
        <v>100</v>
      </c>
      <c r="B5" s="99">
        <f>PL!B18</f>
        <v>21080659</v>
      </c>
      <c r="C5" s="99">
        <f>PL!C18</f>
        <v>202093775</v>
      </c>
      <c r="D5" s="99">
        <f>PL!D18</f>
        <v>22820536</v>
      </c>
      <c r="E5" s="99">
        <f>PL!E18</f>
        <v>23902816.71523197</v>
      </c>
      <c r="F5" s="99">
        <f>PL!F18</f>
        <v>49502761.362488672</v>
      </c>
      <c r="G5" s="99">
        <f>PL!G18</f>
        <v>73893742.460043699</v>
      </c>
      <c r="H5" s="99">
        <f>PL!H18</f>
        <v>93018618.195216835</v>
      </c>
      <c r="I5" s="99">
        <f>PL!I18</f>
        <v>109237735.94599444</v>
      </c>
      <c r="J5" s="79">
        <f>IFERROR(PL!J18,0)</f>
        <v>858372224.89732838</v>
      </c>
    </row>
    <row r="6" spans="1:10" ht="13.5" customHeight="1" x14ac:dyDescent="0.25">
      <c r="A6" s="21" t="s">
        <v>305</v>
      </c>
      <c r="B6" s="139">
        <f>CAPEX_DA!B11</f>
        <v>70101333</v>
      </c>
      <c r="C6" s="139">
        <f>CAPEX_DA!C11</f>
        <v>82384381</v>
      </c>
      <c r="D6" s="139">
        <f>CAPEX_DA!D11</f>
        <v>85527637</v>
      </c>
      <c r="E6" s="139">
        <f>CAPEX_DA!E11</f>
        <v>76966820.272</v>
      </c>
      <c r="F6" s="139">
        <f>CAPEX_DA!F11</f>
        <v>90820847.920959994</v>
      </c>
      <c r="G6" s="139">
        <f>CAPEX_DA!G11</f>
        <v>101465051.29729651</v>
      </c>
      <c r="H6" s="139">
        <f>CAPEX_DA!H11</f>
        <v>108194876.12823966</v>
      </c>
      <c r="I6" s="139">
        <f>CAPEX_DA!I11</f>
        <v>114390456.40337254</v>
      </c>
      <c r="J6" s="69">
        <f>IFERROR(PL!J20,0)</f>
        <v>123541692.91564235</v>
      </c>
    </row>
    <row r="7" spans="1:10" ht="13.5" customHeight="1" x14ac:dyDescent="0.25">
      <c r="A7" s="21" t="s">
        <v>306</v>
      </c>
      <c r="B7" s="105">
        <v>0</v>
      </c>
      <c r="C7" s="105">
        <v>0</v>
      </c>
      <c r="D7" s="105">
        <v>0</v>
      </c>
      <c r="E7" s="105">
        <v>0</v>
      </c>
      <c r="F7" s="105">
        <v>0</v>
      </c>
      <c r="G7" s="105">
        <v>0</v>
      </c>
      <c r="H7" s="105">
        <v>0</v>
      </c>
      <c r="I7" s="105">
        <v>0</v>
      </c>
      <c r="J7" s="69">
        <f>IFERROR(COGS_OPEX!J14+COGS_OPEX!J15,0)</f>
        <v>0</v>
      </c>
    </row>
    <row r="8" spans="1:10" ht="13.5" customHeight="1" x14ac:dyDescent="0.25">
      <c r="A8" s="21" t="s">
        <v>307</v>
      </c>
      <c r="B8" s="124">
        <v>93982876</v>
      </c>
      <c r="C8" s="124">
        <v>-120413066</v>
      </c>
      <c r="D8" s="124">
        <v>-42951946</v>
      </c>
      <c r="E8" s="105">
        <v>0</v>
      </c>
      <c r="F8" s="105">
        <v>0</v>
      </c>
      <c r="G8" s="105">
        <v>0</v>
      </c>
      <c r="H8" s="105">
        <v>0</v>
      </c>
      <c r="I8" s="105">
        <v>0</v>
      </c>
      <c r="J8" s="22">
        <v>0</v>
      </c>
    </row>
    <row r="9" spans="1:10" ht="13.5" customHeight="1" x14ac:dyDescent="0.25">
      <c r="A9" s="21" t="s">
        <v>308</v>
      </c>
      <c r="B9" s="124">
        <v>0</v>
      </c>
      <c r="C9" s="124">
        <v>0</v>
      </c>
      <c r="D9" s="124">
        <v>0</v>
      </c>
      <c r="E9" s="139">
        <f>-NWC!E17</f>
        <v>32629915.90182662</v>
      </c>
      <c r="F9" s="139">
        <f>-NWC!F17</f>
        <v>-33230688.237436891</v>
      </c>
      <c r="G9" s="139">
        <f>-NWC!G17</f>
        <v>-21069939.069180965</v>
      </c>
      <c r="H9" s="139">
        <f>-NWC!H17</f>
        <v>-14563085.640489817</v>
      </c>
      <c r="I9" s="139">
        <f>-NWC!I17</f>
        <v>-6224910.6813508272</v>
      </c>
      <c r="J9" s="69">
        <f>IFERROR(-NWC!J17,0)</f>
        <v>295285424.72663188</v>
      </c>
    </row>
    <row r="10" spans="1:10" ht="15.75" customHeight="1" x14ac:dyDescent="0.25">
      <c r="A10" s="158" t="s">
        <v>309</v>
      </c>
      <c r="B10" s="163">
        <v>185164868</v>
      </c>
      <c r="C10" s="163">
        <v>164065090</v>
      </c>
      <c r="D10" s="163">
        <v>65396227</v>
      </c>
      <c r="E10" s="125">
        <f t="shared" ref="E10:J10" si="0">SUM(E5:E9)</f>
        <v>133499552.88905859</v>
      </c>
      <c r="F10" s="125">
        <f t="shared" si="0"/>
        <v>107092921.04601178</v>
      </c>
      <c r="G10" s="125">
        <f t="shared" si="0"/>
        <v>154288854.68815923</v>
      </c>
      <c r="H10" s="125">
        <f t="shared" si="0"/>
        <v>186650408.68296668</v>
      </c>
      <c r="I10" s="125">
        <f t="shared" si="0"/>
        <v>217403281.66801614</v>
      </c>
      <c r="J10" s="159">
        <f t="shared" si="0"/>
        <v>1277199342.5396028</v>
      </c>
    </row>
    <row r="12" spans="1:10" ht="18" customHeight="1" x14ac:dyDescent="0.25">
      <c r="A12" s="7" t="s">
        <v>310</v>
      </c>
      <c r="B12" s="7"/>
      <c r="C12" s="7"/>
      <c r="D12" s="7"/>
      <c r="E12" s="7"/>
      <c r="F12" s="7"/>
      <c r="G12" s="7"/>
      <c r="H12" s="7"/>
      <c r="I12" s="7"/>
      <c r="J12" s="7"/>
    </row>
    <row r="13" spans="1:10" ht="13.5" customHeight="1" x14ac:dyDescent="0.25">
      <c r="A13" s="21" t="s">
        <v>311</v>
      </c>
      <c r="B13" s="139">
        <f>CAPEX_DA!B7</f>
        <v>-79969309</v>
      </c>
      <c r="C13" s="139">
        <f>CAPEX_DA!C7</f>
        <v>-96996613</v>
      </c>
      <c r="D13" s="139">
        <f>CAPEX_DA!D7</f>
        <v>-69295651</v>
      </c>
      <c r="E13" s="139">
        <f>CAPEX_DA!E7</f>
        <v>-67730801.839359984</v>
      </c>
      <c r="F13" s="139">
        <f>CAPEX_DA!F7</f>
        <v>-77197720.732815996</v>
      </c>
      <c r="G13" s="139">
        <f>CAPEX_DA!G7</f>
        <v>-84899328.636513397</v>
      </c>
      <c r="H13" s="139">
        <f>CAPEX_DA!H7</f>
        <v>-91111474.634307086</v>
      </c>
      <c r="I13" s="139">
        <f>CAPEX_DA!I7</f>
        <v>-95940382.789925367</v>
      </c>
      <c r="J13" s="69">
        <f>IFERROR(CAPEX_DA!J7,0)</f>
        <v>-103615613.41311939</v>
      </c>
    </row>
    <row r="14" spans="1:10" ht="13.5" customHeight="1" x14ac:dyDescent="0.25">
      <c r="A14" s="21" t="s">
        <v>312</v>
      </c>
      <c r="B14" s="124">
        <v>1954704</v>
      </c>
      <c r="C14" s="124">
        <v>1105576</v>
      </c>
      <c r="D14" s="124">
        <v>2584271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22">
        <v>0</v>
      </c>
    </row>
    <row r="15" spans="1:10" ht="15.75" customHeight="1" x14ac:dyDescent="0.25">
      <c r="A15" s="158" t="s">
        <v>313</v>
      </c>
      <c r="B15" s="163">
        <v>-78014605</v>
      </c>
      <c r="C15" s="163">
        <v>-95891037</v>
      </c>
      <c r="D15" s="163">
        <v>-66711380</v>
      </c>
      <c r="E15" s="125">
        <f>E13+E14</f>
        <v>-67730801.839359984</v>
      </c>
      <c r="F15" s="125">
        <f>F13+F14</f>
        <v>-77197720.732815996</v>
      </c>
      <c r="G15" s="125">
        <f>G13+G14</f>
        <v>-84899328.636513397</v>
      </c>
      <c r="H15" s="125">
        <f>H13+H14</f>
        <v>-91111474.634307086</v>
      </c>
      <c r="I15" s="125">
        <f>I13+I14</f>
        <v>-95940382.789925367</v>
      </c>
      <c r="J15" s="159">
        <f>IFERROR(J13+J14,0)</f>
        <v>-103615613.41311939</v>
      </c>
    </row>
    <row r="17" spans="1:10" ht="18" customHeight="1" x14ac:dyDescent="0.25">
      <c r="A17" s="162" t="s">
        <v>314</v>
      </c>
      <c r="B17" s="162"/>
      <c r="C17" s="162"/>
      <c r="D17" s="162"/>
      <c r="E17" s="162"/>
      <c r="F17" s="162"/>
      <c r="G17" s="162"/>
      <c r="H17" s="162"/>
      <c r="I17" s="162"/>
      <c r="J17" s="162"/>
    </row>
    <row r="18" spans="1:10" ht="13.5" customHeight="1" x14ac:dyDescent="0.25">
      <c r="A18" s="21" t="s">
        <v>315</v>
      </c>
      <c r="B18" s="124">
        <v>-241416164</v>
      </c>
      <c r="C18" s="124">
        <v>-413687991</v>
      </c>
      <c r="D18" s="124">
        <v>-283309579</v>
      </c>
      <c r="E18" s="139">
        <f>DEBT!E6</f>
        <v>-50000000</v>
      </c>
      <c r="F18" s="139">
        <f>DEBT!F6</f>
        <v>-50000000</v>
      </c>
      <c r="G18" s="139">
        <f>DEBT!G6</f>
        <v>-50000000</v>
      </c>
      <c r="H18" s="139">
        <f>DEBT!H6</f>
        <v>-50000000</v>
      </c>
      <c r="I18" s="139">
        <f>DEBT!I6</f>
        <v>-50000000</v>
      </c>
      <c r="J18" s="69">
        <f>IFERROR(DEBT!J6,0)</f>
        <v>50000000</v>
      </c>
    </row>
    <row r="19" spans="1:10" ht="13.5" customHeight="1" x14ac:dyDescent="0.25">
      <c r="A19" s="21" t="s">
        <v>316</v>
      </c>
      <c r="B19" s="124">
        <v>461562669</v>
      </c>
      <c r="C19" s="124">
        <v>434282697</v>
      </c>
      <c r="D19" s="124">
        <v>344451056</v>
      </c>
      <c r="E19" s="105">
        <v>0</v>
      </c>
      <c r="F19" s="105">
        <v>0</v>
      </c>
      <c r="G19" s="105">
        <v>0</v>
      </c>
      <c r="H19" s="105">
        <v>0</v>
      </c>
      <c r="I19" s="105">
        <v>0</v>
      </c>
      <c r="J19" s="69">
        <f>IFERROR(DEBT!J5,0)</f>
        <v>0</v>
      </c>
    </row>
    <row r="20" spans="1:10" ht="13.5" customHeight="1" x14ac:dyDescent="0.25">
      <c r="A20" s="21" t="s">
        <v>317</v>
      </c>
      <c r="B20" s="124">
        <v>-189116296</v>
      </c>
      <c r="C20" s="124">
        <v>0</v>
      </c>
      <c r="D20" s="124">
        <v>-2609</v>
      </c>
      <c r="E20" s="105">
        <v>0</v>
      </c>
      <c r="F20" s="105">
        <v>0</v>
      </c>
      <c r="G20" s="105">
        <v>0</v>
      </c>
      <c r="H20" s="105">
        <v>0</v>
      </c>
      <c r="I20" s="105">
        <v>0</v>
      </c>
      <c r="J20" s="69">
        <f>IFERROR(-INPUTS!I148*INPUTS!I149,0)</f>
        <v>0</v>
      </c>
    </row>
    <row r="21" spans="1:10" ht="13.5" customHeight="1" x14ac:dyDescent="0.25">
      <c r="A21" s="21" t="s">
        <v>318</v>
      </c>
      <c r="B21" s="124">
        <v>0</v>
      </c>
      <c r="C21" s="124">
        <v>0</v>
      </c>
      <c r="D21" s="124">
        <v>0</v>
      </c>
      <c r="E21" s="105">
        <v>0</v>
      </c>
      <c r="F21" s="105">
        <v>0</v>
      </c>
      <c r="G21" s="105">
        <v>0</v>
      </c>
      <c r="H21" s="105">
        <v>0</v>
      </c>
      <c r="I21" s="105">
        <v>0</v>
      </c>
      <c r="J21" s="22">
        <v>0</v>
      </c>
    </row>
    <row r="22" spans="1:10" ht="13.5" customHeight="1" x14ac:dyDescent="0.25">
      <c r="A22" s="21" t="s">
        <v>319</v>
      </c>
      <c r="B22" s="124">
        <v>-120499634</v>
      </c>
      <c r="C22" s="124">
        <v>-84087908</v>
      </c>
      <c r="D22" s="124">
        <v>-39740052</v>
      </c>
      <c r="E22" s="105">
        <v>0</v>
      </c>
      <c r="F22" s="105">
        <v>0</v>
      </c>
      <c r="G22" s="105">
        <v>0</v>
      </c>
      <c r="H22" s="105">
        <v>0</v>
      </c>
      <c r="I22" s="105">
        <v>0</v>
      </c>
      <c r="J22" s="22">
        <v>0</v>
      </c>
    </row>
    <row r="23" spans="1:10" ht="15.75" customHeight="1" x14ac:dyDescent="0.25">
      <c r="A23" s="158" t="s">
        <v>320</v>
      </c>
      <c r="B23" s="163">
        <v>-89469425</v>
      </c>
      <c r="C23" s="163">
        <v>-63493202</v>
      </c>
      <c r="D23" s="163">
        <v>21398816</v>
      </c>
      <c r="E23" s="125">
        <f t="shared" ref="E23:J23" si="1">SUM(E18:E22)</f>
        <v>-50000000</v>
      </c>
      <c r="F23" s="125">
        <f t="shared" si="1"/>
        <v>-50000000</v>
      </c>
      <c r="G23" s="125">
        <f t="shared" si="1"/>
        <v>-50000000</v>
      </c>
      <c r="H23" s="125">
        <f t="shared" si="1"/>
        <v>-50000000</v>
      </c>
      <c r="I23" s="125">
        <f t="shared" si="1"/>
        <v>-50000000</v>
      </c>
      <c r="J23" s="159">
        <f t="shared" si="1"/>
        <v>50000000</v>
      </c>
    </row>
    <row r="25" spans="1:10" ht="13.5" customHeight="1" x14ac:dyDescent="0.25">
      <c r="A25" s="21" t="s">
        <v>321</v>
      </c>
      <c r="B25" s="124">
        <v>-36318782</v>
      </c>
      <c r="C25" s="124">
        <v>-12720057</v>
      </c>
      <c r="D25" s="124">
        <v>80158</v>
      </c>
      <c r="E25" s="105">
        <v>0</v>
      </c>
      <c r="F25" s="105">
        <v>0</v>
      </c>
      <c r="G25" s="105">
        <v>0</v>
      </c>
      <c r="H25" s="105">
        <v>0</v>
      </c>
      <c r="I25" s="105">
        <v>0</v>
      </c>
      <c r="J25" s="22">
        <v>0</v>
      </c>
    </row>
    <row r="26" spans="1:10" ht="15.75" customHeight="1" x14ac:dyDescent="0.25">
      <c r="A26" s="158" t="s">
        <v>322</v>
      </c>
      <c r="B26" s="163">
        <f t="shared" ref="B26:I26" si="2">B10+B15+B23+B25</f>
        <v>-18637944</v>
      </c>
      <c r="C26" s="163">
        <f t="shared" si="2"/>
        <v>-8039206</v>
      </c>
      <c r="D26" s="163">
        <f t="shared" si="2"/>
        <v>20163821</v>
      </c>
      <c r="E26" s="125">
        <f t="shared" si="2"/>
        <v>15768751.049698606</v>
      </c>
      <c r="F26" s="125">
        <f t="shared" si="2"/>
        <v>-20104799.68680422</v>
      </c>
      <c r="G26" s="125">
        <f t="shared" si="2"/>
        <v>19389526.05164583</v>
      </c>
      <c r="H26" s="125">
        <f t="shared" si="2"/>
        <v>45538934.048659593</v>
      </c>
      <c r="I26" s="125">
        <f t="shared" si="2"/>
        <v>71462898.878090769</v>
      </c>
      <c r="J26" s="159">
        <f>IFERROR(J10+J15+J23+J25,0)</f>
        <v>1223583729.1264834</v>
      </c>
    </row>
    <row r="27" spans="1:10" ht="13.5" customHeight="1" x14ac:dyDescent="0.25">
      <c r="A27" s="21" t="s">
        <v>323</v>
      </c>
      <c r="B27" s="124">
        <v>33302505</v>
      </c>
      <c r="C27" s="124">
        <v>19291048</v>
      </c>
      <c r="D27" s="124">
        <v>11251842</v>
      </c>
      <c r="E27" s="141">
        <f>D28</f>
        <v>31415663</v>
      </c>
      <c r="F27" s="141">
        <f>E28</f>
        <v>47184414.049698606</v>
      </c>
      <c r="G27" s="141">
        <f>F28</f>
        <v>27079614.362894386</v>
      </c>
      <c r="H27" s="141">
        <f>G28</f>
        <v>46469140.414540216</v>
      </c>
      <c r="I27" s="141">
        <f>H28</f>
        <v>92008074.463199809</v>
      </c>
      <c r="J27" s="76">
        <f>IFERROR(I28,0)</f>
        <v>163470973.34129059</v>
      </c>
    </row>
    <row r="28" spans="1:10" ht="15.75" customHeight="1" x14ac:dyDescent="0.25">
      <c r="A28" s="158" t="s">
        <v>324</v>
      </c>
      <c r="B28" s="163">
        <v>14664561</v>
      </c>
      <c r="C28" s="163">
        <v>11251842</v>
      </c>
      <c r="D28" s="163">
        <v>31415663</v>
      </c>
      <c r="E28" s="125">
        <f>E27+E26</f>
        <v>47184414.049698606</v>
      </c>
      <c r="F28" s="125">
        <f>F27+F26</f>
        <v>27079614.362894386</v>
      </c>
      <c r="G28" s="125">
        <f>G27+G26</f>
        <v>46469140.414540216</v>
      </c>
      <c r="H28" s="125">
        <f>H27+H26</f>
        <v>92008074.463199809</v>
      </c>
      <c r="I28" s="125">
        <f>I27+I26</f>
        <v>163470973.34129059</v>
      </c>
      <c r="J28" s="159">
        <f>IFERROR(J27+J26,0)</f>
        <v>1387054702.4677739</v>
      </c>
    </row>
  </sheetData>
  <mergeCells count="5">
    <mergeCell ref="A1:J1"/>
    <mergeCell ref="A2:J2"/>
    <mergeCell ref="A4:J4"/>
    <mergeCell ref="A12:J12"/>
    <mergeCell ref="A17:J17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2"/>
  <sheetViews>
    <sheetView showGridLines="0" tabSelected="1" zoomScale="85" zoomScaleNormal="85" workbookViewId="0">
      <pane ySplit="3" topLeftCell="A4" activePane="bottomLeft" state="frozen"/>
      <selection pane="bottomLeft" activeCell="N18" sqref="N18"/>
    </sheetView>
  </sheetViews>
  <sheetFormatPr baseColWidth="10" defaultColWidth="8.7109375" defaultRowHeight="15" x14ac:dyDescent="0.25"/>
  <cols>
    <col min="1" max="1" width="38" style="135" customWidth="1"/>
    <col min="2" max="2" width="22" style="9" customWidth="1"/>
    <col min="3" max="3" width="18.85546875" style="9" customWidth="1"/>
    <col min="4" max="4" width="20.7109375" style="9" customWidth="1"/>
    <col min="5" max="10" width="19.42578125" style="9" customWidth="1"/>
    <col min="11" max="16384" width="8.7109375" style="9"/>
  </cols>
  <sheetData>
    <row r="1" spans="1:10" ht="24" customHeight="1" x14ac:dyDescent="0.25">
      <c r="A1" s="8" t="s">
        <v>325</v>
      </c>
      <c r="B1" s="8"/>
      <c r="C1" s="8"/>
      <c r="D1" s="8"/>
      <c r="E1" s="8"/>
      <c r="F1" s="8"/>
      <c r="G1" s="8"/>
      <c r="H1" s="8"/>
      <c r="I1" s="8"/>
      <c r="J1" s="8"/>
    </row>
    <row r="2" spans="1:10" ht="13.5" customHeight="1" x14ac:dyDescent="0.25">
      <c r="A2" s="1" t="s">
        <v>326</v>
      </c>
      <c r="B2" s="1"/>
      <c r="C2" s="1"/>
      <c r="D2" s="1"/>
      <c r="E2" s="1"/>
      <c r="F2" s="1"/>
      <c r="G2" s="1"/>
      <c r="H2" s="1"/>
      <c r="I2" s="1"/>
      <c r="J2" s="1"/>
    </row>
    <row r="3" spans="1:10" ht="18" customHeight="1" x14ac:dyDescent="0.25">
      <c r="B3" s="90" t="s">
        <v>77</v>
      </c>
      <c r="C3" s="90" t="s">
        <v>78</v>
      </c>
      <c r="D3" s="90" t="s">
        <v>79</v>
      </c>
      <c r="E3" s="91" t="s">
        <v>80</v>
      </c>
      <c r="F3" s="91" t="s">
        <v>81</v>
      </c>
      <c r="G3" s="91" t="s">
        <v>82</v>
      </c>
      <c r="H3" s="91" t="s">
        <v>83</v>
      </c>
      <c r="I3" s="91" t="s">
        <v>84</v>
      </c>
      <c r="J3" s="142" t="s">
        <v>174</v>
      </c>
    </row>
    <row r="4" spans="1:10" ht="18" customHeight="1" x14ac:dyDescent="0.25">
      <c r="A4" s="6" t="s">
        <v>327</v>
      </c>
      <c r="B4" s="6"/>
      <c r="C4" s="6"/>
      <c r="D4" s="6"/>
      <c r="E4" s="6"/>
      <c r="F4" s="6"/>
      <c r="G4" s="6"/>
      <c r="H4" s="6"/>
      <c r="I4" s="6"/>
      <c r="J4" s="6"/>
    </row>
    <row r="5" spans="1:10" ht="13.5" customHeight="1" x14ac:dyDescent="0.25">
      <c r="A5" s="33" t="s">
        <v>328</v>
      </c>
      <c r="B5" s="164">
        <f>IFERROR(PL!B6/PL!B4,0)</f>
        <v>0.25086942532413103</v>
      </c>
      <c r="C5" s="164">
        <f>IFERROR(PL!C6/PL!C4,0)</f>
        <v>0.26742944425790099</v>
      </c>
      <c r="D5" s="164">
        <f>IFERROR(PL!D6/PL!D4,0)</f>
        <v>0.21814601032581801</v>
      </c>
      <c r="E5" s="164">
        <f>IFERROR(PL!E6/PL!E4,0)</f>
        <v>0.23199999999999996</v>
      </c>
      <c r="F5" s="164">
        <f>IFERROR(PL!F6/PL!F4,0)</f>
        <v>0.23499999999999993</v>
      </c>
      <c r="G5" s="164">
        <f>IFERROR(PL!G6/PL!G4,0)</f>
        <v>0.23800000000000002</v>
      </c>
      <c r="H5" s="164">
        <f>IFERROR(PL!H6/PL!H4,0)</f>
        <v>0.24199999999999999</v>
      </c>
      <c r="I5" s="164">
        <f>IFERROR(PL!I6/PL!I4,0)</f>
        <v>0.24500000000000002</v>
      </c>
      <c r="J5" s="70">
        <f>IFERROR(PL!J6/PL!J4,0)</f>
        <v>1</v>
      </c>
    </row>
    <row r="6" spans="1:10" ht="13.5" customHeight="1" x14ac:dyDescent="0.25">
      <c r="A6" s="33" t="s">
        <v>329</v>
      </c>
      <c r="B6" s="164">
        <f>IFERROR(PL!B21/PL!B4,0)</f>
        <v>0.22663059583569845</v>
      </c>
      <c r="C6" s="164">
        <f>IFERROR(PL!C21/PL!C4,0)</f>
        <v>0.24824406456201845</v>
      </c>
      <c r="D6" s="164">
        <f>IFERROR(PL!D21/PL!D4,0)</f>
        <v>0.20277362776275512</v>
      </c>
      <c r="E6" s="164">
        <f>IFERROR(PL!E21/PL!E4,0)</f>
        <v>0.22399999999999995</v>
      </c>
      <c r="F6" s="164">
        <f>IFERROR(PL!F21/PL!F4,0)</f>
        <v>0.22799999999999995</v>
      </c>
      <c r="G6" s="164">
        <f>IFERROR(PL!G21/PL!G4,0)</f>
        <v>0.23100000000000001</v>
      </c>
      <c r="H6" s="164">
        <f>IFERROR(PL!H21/PL!H4,0)</f>
        <v>0.23300000000000001</v>
      </c>
      <c r="I6" s="164">
        <f>IFERROR(PL!I21/PL!I4,0)</f>
        <v>0.23600000000000004</v>
      </c>
      <c r="J6" s="70">
        <f>IFERROR(PL!J21/PL!J4,0)</f>
        <v>1.093</v>
      </c>
    </row>
    <row r="7" spans="1:10" ht="13.5" customHeight="1" x14ac:dyDescent="0.25">
      <c r="A7" s="33" t="s">
        <v>330</v>
      </c>
      <c r="B7" s="164">
        <f>IFERROR(PL!B12/PL!B4,0)</f>
        <v>0.15037652873348895</v>
      </c>
      <c r="C7" s="164">
        <f>IFERROR(PL!C12/PL!C4,0)</f>
        <v>0.1586725449987737</v>
      </c>
      <c r="D7" s="164">
        <f>IFERROR(PL!D12/PL!D4,0)</f>
        <v>0.10192586671883667</v>
      </c>
      <c r="E7" s="164">
        <f>IFERROR(PL!E12/PL!E4,0)</f>
        <v>0.12399999999999996</v>
      </c>
      <c r="F7" s="164">
        <f>IFERROR(PL!F12/PL!F4,0)</f>
        <v>0.12799999999999995</v>
      </c>
      <c r="G7" s="164">
        <f>IFERROR(PL!G12/PL!G4,0)</f>
        <v>0.13299999999999998</v>
      </c>
      <c r="H7" s="164">
        <f>IFERROR(PL!H12/PL!H4,0)</f>
        <v>0.13800000000000001</v>
      </c>
      <c r="I7" s="164">
        <f>IFERROR(PL!I12/PL!I4,0)</f>
        <v>0.14300000000000004</v>
      </c>
      <c r="J7" s="70">
        <f>IFERROR(PL!J12/PL!J4,0)</f>
        <v>1</v>
      </c>
    </row>
    <row r="8" spans="1:10" ht="13.5" customHeight="1" x14ac:dyDescent="0.25">
      <c r="A8" s="33" t="s">
        <v>331</v>
      </c>
      <c r="B8" s="164">
        <f>IFERROR(PL!B18/PL!B4,0)</f>
        <v>2.2930890428928031E-2</v>
      </c>
      <c r="C8" s="164">
        <f>IFERROR(PL!C18/PL!C4,0)</f>
        <v>0.2197242523558256</v>
      </c>
      <c r="D8" s="164">
        <f>IFERROR(PL!D18/PL!D4,0)</f>
        <v>2.6908260793199967E-2</v>
      </c>
      <c r="E8" s="164">
        <f>IFERROR(PL!E18/PL!E4,0)</f>
        <v>3.1056001314280164E-2</v>
      </c>
      <c r="F8" s="164">
        <f>IFERROR(PL!F18/PL!F4,0)</f>
        <v>5.4505944940714687E-2</v>
      </c>
      <c r="G8" s="164">
        <f>IFERROR(PL!G18/PL!G4,0)</f>
        <v>7.1370256738609972E-2</v>
      </c>
      <c r="H8" s="164">
        <f>IFERROR(PL!H18/PL!H4,0)</f>
        <v>8.1674558396570299E-2</v>
      </c>
      <c r="I8" s="164">
        <f>IFERROR(PL!I18/PL!I4,0)</f>
        <v>8.8810813090505022E-2</v>
      </c>
      <c r="J8" s="70">
        <f>IFERROR(PL!J18/PL!J4,0)</f>
        <v>0.64616741952824541</v>
      </c>
    </row>
    <row r="9" spans="1:10" ht="13.5" customHeight="1" x14ac:dyDescent="0.25">
      <c r="A9" s="33" t="s">
        <v>332</v>
      </c>
      <c r="B9" s="164">
        <f>IFERROR(PL!B18/BS!B29,0)</f>
        <v>3.2902158151000845E-2</v>
      </c>
      <c r="C9" s="164">
        <f>IFERROR(PL!C18/BS!C29,0)</f>
        <v>0.19369852788283992</v>
      </c>
      <c r="D9" s="164">
        <f>IFERROR(PL!D18/BS!D29,0)</f>
        <v>2.1404372259782971E-2</v>
      </c>
      <c r="E9" s="164">
        <f>IFERROR(PL!E18/BS!E29,0)</f>
        <v>2.1413584210655215E-2</v>
      </c>
      <c r="F9" s="164">
        <f>IFERROR(PL!F18/BS!F29,0)</f>
        <v>4.2801359241699866E-2</v>
      </c>
      <c r="G9" s="164">
        <f>IFERROR(PL!G18/BS!G29,0)</f>
        <v>6.0468198801463924E-2</v>
      </c>
      <c r="H9" s="164">
        <f>IFERROR(PL!H18/BS!H29,0)</f>
        <v>7.1108540451118557E-2</v>
      </c>
      <c r="I9" s="164">
        <f>IFERROR(PL!I18/BS!I29,0)</f>
        <v>7.7405471419020475E-2</v>
      </c>
      <c r="J9" s="70">
        <f>IFERROR(PL!J18/BS!J29,0)</f>
        <v>0.37820206798459521</v>
      </c>
    </row>
    <row r="10" spans="1:10" ht="13.5" customHeight="1" x14ac:dyDescent="0.25">
      <c r="A10" s="33" t="s">
        <v>333</v>
      </c>
      <c r="B10" s="164">
        <f>IFERROR(PL!B18/BS!B14,0)</f>
        <v>1.5112706142857892E-2</v>
      </c>
      <c r="C10" s="164">
        <f>IFERROR(PL!C18/BS!C14,0)</f>
        <v>0.10903922710390741</v>
      </c>
      <c r="D10" s="164">
        <f>IFERROR(PL!D18/BS!D14,0)</f>
        <v>1.1888184990175044E-2</v>
      </c>
      <c r="E10" s="164">
        <f>IFERROR(PL!E18/BS!E14,0)</f>
        <v>1.2713215778798305E-2</v>
      </c>
      <c r="F10" s="164">
        <f>IFERROR(PL!F18/BS!F14,0)</f>
        <v>2.6085571823085654E-2</v>
      </c>
      <c r="G10" s="164">
        <f>IFERROR(PL!G18/BS!G14,0)</f>
        <v>3.8129338057468057E-2</v>
      </c>
      <c r="H10" s="164">
        <f>IFERROR(PL!H18/BS!H14,0)</f>
        <v>4.6652541725268282E-2</v>
      </c>
      <c r="I10" s="164">
        <f>IFERROR(PL!I18/BS!I14,0)</f>
        <v>5.291540830562317E-2</v>
      </c>
      <c r="J10" s="70">
        <f>IFERROR(PL!J18/BS!J14,0)</f>
        <v>0.30575564660829829</v>
      </c>
    </row>
    <row r="11" spans="1:10" ht="13.5" customHeight="1" x14ac:dyDescent="0.25">
      <c r="A11" s="33" t="s">
        <v>334</v>
      </c>
      <c r="B11" s="164">
        <f>IFERROR(PL!B12*(1-INPUTS!B135)/(BS!B29+DEBT!B7),0)</f>
        <v>0.14375963685121346</v>
      </c>
      <c r="C11" s="164">
        <f>IFERROR(PL!C12*(1-INPUTS!C135)/(BS!C29+DEBT!C7),0)</f>
        <v>0.11508072688839491</v>
      </c>
      <c r="D11" s="164">
        <f>IFERROR(PL!D12*(1-INPUTS!D135)/(BS!D29+DEBT!D7),0)</f>
        <v>6.3370601347662828E-2</v>
      </c>
      <c r="E11" s="164">
        <f>IFERROR(PL!E12*(1-INPUTS!E135)/(BS!E29+DEBT!E7),0)</f>
        <v>4.5475273926467684E-2</v>
      </c>
      <c r="F11" s="164">
        <f>IFERROR(PL!F12*(1-INPUTS!F135)/(BS!F29+DEBT!F7),0)</f>
        <v>5.5787506093593946E-2</v>
      </c>
      <c r="G11" s="164">
        <f>IFERROR(PL!G12*(1-INPUTS!G135)/(BS!G29+DEBT!G7),0)</f>
        <v>6.5336454956017406E-2</v>
      </c>
      <c r="H11" s="164">
        <f>IFERROR(PL!H12*(1-INPUTS!H135)/(BS!H29+DEBT!H7),0)</f>
        <v>7.265759878114611E-2</v>
      </c>
      <c r="I11" s="164">
        <f>IFERROR(PL!I12*(1-INPUTS!I135)/(BS!I29+DEBT!I7),0)</f>
        <v>7.8353197125905688E-2</v>
      </c>
      <c r="J11" s="70">
        <f>IFERROR(PL!J12*(1-INPUTS!I135)/(BS!J29+DEBT!J7),0)</f>
        <v>0.36471208366967633</v>
      </c>
    </row>
    <row r="13" spans="1:10" ht="18" customHeight="1" x14ac:dyDescent="0.25">
      <c r="A13" s="7" t="s">
        <v>335</v>
      </c>
      <c r="B13" s="7"/>
      <c r="C13" s="7"/>
      <c r="D13" s="7"/>
      <c r="E13" s="7"/>
      <c r="F13" s="7"/>
      <c r="G13" s="7"/>
      <c r="H13" s="7"/>
      <c r="I13" s="7"/>
      <c r="J13" s="7"/>
    </row>
    <row r="14" spans="1:10" ht="13.5" customHeight="1" x14ac:dyDescent="0.25">
      <c r="A14" s="33" t="s">
        <v>336</v>
      </c>
      <c r="B14" s="165">
        <f>IFERROR(BS!B9/BS!B20,0)</f>
        <v>1.1028266212372009</v>
      </c>
      <c r="C14" s="165">
        <f>IFERROR(BS!C9/BS!C20,0)</f>
        <v>1.0229822042149195</v>
      </c>
      <c r="D14" s="165">
        <f>IFERROR(BS!D9/BS!D20,0)</f>
        <v>1.5074330115959953</v>
      </c>
      <c r="E14" s="165">
        <f>IFERROR(BS!E9/BS!E20,0)</f>
        <v>2.1164032868535387</v>
      </c>
      <c r="F14" s="165">
        <f>IFERROR(BS!F9/BS!F20,0)</f>
        <v>2.0037866490712286</v>
      </c>
      <c r="G14" s="165">
        <f>IFERROR(BS!G9/BS!G20,0)</f>
        <v>2.0331180284333876</v>
      </c>
      <c r="H14" s="165">
        <f>IFERROR(BS!H9/BS!H20,0)</f>
        <v>2.153167758785727</v>
      </c>
      <c r="I14" s="165">
        <f>IFERROR(BS!I9/BS!I20,0)</f>
        <v>2.3300209975483606</v>
      </c>
      <c r="J14" s="166">
        <f>IFERROR(BS!J9/BS!J20,0)</f>
        <v>51.988190406880975</v>
      </c>
    </row>
    <row r="15" spans="1:10" ht="13.5" customHeight="1" x14ac:dyDescent="0.25">
      <c r="A15" s="33" t="s">
        <v>337</v>
      </c>
      <c r="B15" s="165">
        <f>IFERROR((BS!B9-BS!B7)/BS!B20,0)</f>
        <v>0.4511050477396884</v>
      </c>
      <c r="C15" s="165">
        <f>IFERROR((BS!C9-BS!C7)/BS!C20,0)</f>
        <v>0.26962965642801312</v>
      </c>
      <c r="D15" s="165">
        <f>IFERROR((BS!D9-BS!D7)/BS!D20,0)</f>
        <v>0.5463695037755899</v>
      </c>
      <c r="E15" s="165">
        <f>IFERROR((BS!E9-BS!E7)/BS!E20,0)</f>
        <v>0.86185090400019615</v>
      </c>
      <c r="F15" s="165">
        <f>IFERROR((BS!F9-BS!F7)/BS!F20,0)</f>
        <v>0.72756440097655828</v>
      </c>
      <c r="G15" s="165">
        <f>IFERROR((BS!G9-BS!G7)/BS!G20,0)</f>
        <v>0.76661059038340618</v>
      </c>
      <c r="H15" s="165">
        <f>IFERROR((BS!H9-BS!H7)/BS!H20,0)</f>
        <v>0.90964157191776851</v>
      </c>
      <c r="I15" s="165">
        <f>IFERROR((BS!I9-BS!I7)/BS!I20,0)</f>
        <v>1.1151310742648752</v>
      </c>
      <c r="J15" s="166">
        <f>IFERROR((BS!J9-BS!J7)/BS!J20,0)</f>
        <v>51.988190406880975</v>
      </c>
    </row>
    <row r="16" spans="1:10" ht="13.5" customHeight="1" x14ac:dyDescent="0.25">
      <c r="A16" s="33" t="s">
        <v>338</v>
      </c>
      <c r="B16" s="165">
        <f>IFERROR(BS!B5/BS!B20,0)</f>
        <v>5.7380654770160237E-2</v>
      </c>
      <c r="C16" s="165">
        <f>IFERROR(BS!C5/BS!C20,0)</f>
        <v>3.1936849890633202E-2</v>
      </c>
      <c r="D16" s="165">
        <f>IFERROR(BS!D5/BS!D20,0)</f>
        <v>0.10263136463110197</v>
      </c>
      <c r="E16" s="165">
        <f>IFERROR(BS!E5/BS!E20,0)</f>
        <v>0.2313440735271011</v>
      </c>
      <c r="F16" s="165">
        <f>IFERROR(BS!F5/BS!F20,0)</f>
        <v>0.11713399765407607</v>
      </c>
      <c r="G16" s="165">
        <f>IFERROR(BS!G5/BS!G20,0)</f>
        <v>0.18152172674050929</v>
      </c>
      <c r="H16" s="165">
        <f>IFERROR(BS!H5/BS!H20,0)</f>
        <v>0.33362105016726618</v>
      </c>
      <c r="I16" s="165">
        <f>IFERROR(BS!I5/BS!I20,0)</f>
        <v>0.55755615097746247</v>
      </c>
      <c r="J16" s="166">
        <f>IFERROR(BS!J5/BS!J20,0)</f>
        <v>49.86668199875372</v>
      </c>
    </row>
    <row r="17" spans="1:10" ht="13.5" customHeight="1" x14ac:dyDescent="0.25">
      <c r="A17" s="33" t="s">
        <v>339</v>
      </c>
      <c r="B17" s="165">
        <f>IFERROR(CF!B10/BS!B20,0)</f>
        <v>0.72452774864997938</v>
      </c>
      <c r="C17" s="165">
        <f>IFERROR(CF!C10/BS!C20,0)</f>
        <v>0.46567683332411053</v>
      </c>
      <c r="D17" s="165">
        <f>IFERROR(CF!D10/BS!D20,0)</f>
        <v>0.21364196638903707</v>
      </c>
      <c r="E17" s="165">
        <f>IFERROR(CF!E10/BS!E20,0)</f>
        <v>0.65454517135407275</v>
      </c>
      <c r="F17" s="165">
        <f>IFERROR(CF!F10/BS!F20,0)</f>
        <v>0.46323488194722268</v>
      </c>
      <c r="G17" s="165">
        <f>IFERROR(CF!G10/BS!G20,0)</f>
        <v>0.60269630705384958</v>
      </c>
      <c r="H17" s="165">
        <f>IFERROR(CF!H10/BS!H20,0)</f>
        <v>0.67679391968872149</v>
      </c>
      <c r="I17" s="165">
        <f>IFERROR(CF!I10/BS!I20,0)</f>
        <v>0.74150495625678781</v>
      </c>
      <c r="J17" s="166">
        <f>IFERROR(CF!J10/BS!J20,0)</f>
        <v>45.917218225154627</v>
      </c>
    </row>
    <row r="19" spans="1:10" ht="18" customHeight="1" x14ac:dyDescent="0.25">
      <c r="A19" s="167" t="s">
        <v>340</v>
      </c>
      <c r="B19" s="167"/>
      <c r="C19" s="167"/>
      <c r="D19" s="167"/>
      <c r="E19" s="167"/>
      <c r="F19" s="167"/>
      <c r="G19" s="167"/>
      <c r="H19" s="167"/>
      <c r="I19" s="167"/>
      <c r="J19" s="167"/>
    </row>
    <row r="20" spans="1:10" ht="13.5" customHeight="1" x14ac:dyDescent="0.25">
      <c r="A20" s="33" t="s">
        <v>341</v>
      </c>
      <c r="B20" s="168">
        <f>IFERROR(BS!B6/PL!B4*365,0)</f>
        <v>19.668909069764641</v>
      </c>
      <c r="C20" s="168">
        <f>IFERROR(BS!C6/PL!C4*365,0)</f>
        <v>25.710143852114957</v>
      </c>
      <c r="D20" s="168">
        <f>IFERROR(BS!D6/PL!D4*365,0)</f>
        <v>33.061323752374904</v>
      </c>
      <c r="E20" s="168">
        <f>IFERROR(BS!E6/PL!E4*365,0)</f>
        <v>32.999999999999993</v>
      </c>
      <c r="F20" s="168">
        <f>IFERROR(BS!F6/PL!F4*365,0)</f>
        <v>33.000000000000007</v>
      </c>
      <c r="G20" s="168">
        <f>IFERROR(BS!G6/PL!G4*365,0)</f>
        <v>32</v>
      </c>
      <c r="H20" s="168">
        <f>IFERROR(BS!H6/PL!H4*365,0)</f>
        <v>32</v>
      </c>
      <c r="I20" s="168">
        <f>IFERROR(BS!I6/PL!I4*365,0)</f>
        <v>31</v>
      </c>
      <c r="J20" s="166">
        <f>IFERROR(BS!J6/PL!J4*365,0)</f>
        <v>0</v>
      </c>
    </row>
    <row r="21" spans="1:10" ht="13.5" customHeight="1" x14ac:dyDescent="0.25">
      <c r="A21" s="33" t="s">
        <v>342</v>
      </c>
      <c r="B21" s="168">
        <f>IFERROR(BS!B7/ABS(PL!B5)*365,0)</f>
        <v>88.275003209085696</v>
      </c>
      <c r="C21" s="168">
        <f>IFERROR(BS!C7/ABS(PL!C5)*365,0)</f>
        <v>143.77993200401156</v>
      </c>
      <c r="D21" s="168">
        <f>IFERROR(BS!D7/ABS(PL!D5)*365,0)</f>
        <v>161.93667151209075</v>
      </c>
      <c r="E21" s="168">
        <f>IFERROR(BS!E7/ABS(PL!E5)*365,0)</f>
        <v>158</v>
      </c>
      <c r="F21" s="168">
        <f>IFERROR(BS!F7/ABS(PL!F5)*365,0)</f>
        <v>155</v>
      </c>
      <c r="G21" s="168">
        <f>IFERROR(BS!G7/ABS(PL!G5)*365,0)</f>
        <v>150</v>
      </c>
      <c r="H21" s="168">
        <f>IFERROR(BS!H7/ABS(PL!H5)*365,0)</f>
        <v>145</v>
      </c>
      <c r="I21" s="168">
        <f>IFERROR(BS!I7/ABS(PL!I5)*365,0)</f>
        <v>140</v>
      </c>
      <c r="J21" s="166">
        <f>IFERROR(BS!J7/PL!J5*365,0)</f>
        <v>0</v>
      </c>
    </row>
    <row r="22" spans="1:10" ht="13.5" customHeight="1" x14ac:dyDescent="0.25">
      <c r="A22" s="33" t="s">
        <v>343</v>
      </c>
      <c r="B22" s="168">
        <f>IFERROR(BS!B17/ABS(PL!B5)*365,0)</f>
        <v>66.080402355585207</v>
      </c>
      <c r="C22" s="168">
        <f>IFERROR(BS!C17/ABS(PL!C5)*365,0)</f>
        <v>66.694250098046126</v>
      </c>
      <c r="D22" s="168">
        <f>IFERROR(BS!D17/ABS(PL!D5)*365,0)</f>
        <v>65.051085848839989</v>
      </c>
      <c r="E22" s="168">
        <f>IFERROR(BS!E17/ABS(PL!E5)*365,0)</f>
        <v>65</v>
      </c>
      <c r="F22" s="168">
        <f>IFERROR(BS!F17/ABS(PL!F5)*365,0)</f>
        <v>65</v>
      </c>
      <c r="G22" s="168">
        <f>IFERROR(BS!G17/ABS(PL!G5)*365,0)</f>
        <v>65</v>
      </c>
      <c r="H22" s="168">
        <f>IFERROR(BS!H17/ABS(PL!H5)*365,0)</f>
        <v>65</v>
      </c>
      <c r="I22" s="168">
        <f>IFERROR(BS!I17/ABS(PL!I5)*365,0)</f>
        <v>65</v>
      </c>
      <c r="J22" s="166">
        <f>IFERROR(BS!J17/PL!J5*365,0)</f>
        <v>0</v>
      </c>
    </row>
    <row r="23" spans="1:10" ht="13.5" customHeight="1" x14ac:dyDescent="0.25">
      <c r="A23" s="33" t="s">
        <v>344</v>
      </c>
      <c r="B23" s="168">
        <f>IFERROR(PL!B4/BS!B14,0)</f>
        <v>0.65905448328307148</v>
      </c>
      <c r="C23" s="168">
        <f>IFERROR(PL!C4/BS!C14,0)</f>
        <v>0.49625485550555992</v>
      </c>
      <c r="D23" s="168">
        <f>IFERROR(PL!D4/BS!D14,0)</f>
        <v>0.4418042875955524</v>
      </c>
      <c r="E23" s="168">
        <f>IFERROR(PL!E4/BS!E14,0)</f>
        <v>0.40936422078757823</v>
      </c>
      <c r="F23" s="168">
        <f>IFERROR(PL!F4/BS!F14,0)</f>
        <v>0.47858214092900403</v>
      </c>
      <c r="G23" s="168">
        <f>IFERROR(PL!G4/BS!G14,0)</f>
        <v>0.53424689499317435</v>
      </c>
      <c r="H23" s="168">
        <f>IFERROR(PL!H4/BS!H14,0)</f>
        <v>0.57120041590855208</v>
      </c>
      <c r="I23" s="168">
        <f>IFERROR(PL!I4/BS!I14,0)</f>
        <v>0.59582168504299482</v>
      </c>
      <c r="J23" s="166">
        <f>IFERROR(PL!J4/BS!J14,0)</f>
        <v>0.47318332272389202</v>
      </c>
    </row>
    <row r="25" spans="1:10" ht="18" customHeight="1" x14ac:dyDescent="0.25">
      <c r="A25" s="162" t="s">
        <v>345</v>
      </c>
      <c r="B25" s="162"/>
      <c r="C25" s="162"/>
      <c r="D25" s="162"/>
      <c r="E25" s="162"/>
      <c r="F25" s="162"/>
      <c r="G25" s="162"/>
      <c r="H25" s="162"/>
      <c r="I25" s="162"/>
      <c r="J25" s="162"/>
    </row>
    <row r="26" spans="1:10" ht="13.5" customHeight="1" x14ac:dyDescent="0.25">
      <c r="A26" s="33" t="s">
        <v>346</v>
      </c>
      <c r="B26" s="169">
        <f>DEBT!B7-BS!B5</f>
        <v>306254298</v>
      </c>
      <c r="C26" s="169">
        <f>DEBT!C7-BS!C5</f>
        <v>213566574</v>
      </c>
      <c r="D26" s="169">
        <f>DEBT!D7-BS!D5</f>
        <v>266492418</v>
      </c>
      <c r="E26" s="169">
        <f>DEBT!E7-BS!E5</f>
        <v>200723666.95030141</v>
      </c>
      <c r="F26" s="169">
        <f>DEBT!F7-BS!F5</f>
        <v>170828466.63710561</v>
      </c>
      <c r="G26" s="169">
        <f>DEBT!G7-BS!G5</f>
        <v>101438940.58545978</v>
      </c>
      <c r="H26" s="169">
        <f>DEBT!H7-BS!H5</f>
        <v>5900006.5368001908</v>
      </c>
      <c r="I26" s="169">
        <f>DEBT!I7-BS!I5</f>
        <v>-115562892.34129059</v>
      </c>
      <c r="J26" s="76">
        <f>IFERROR(DEBT!J7-BS!J5,0)</f>
        <v>-1289146621.4677739</v>
      </c>
    </row>
    <row r="27" spans="1:10" ht="13.5" customHeight="1" x14ac:dyDescent="0.25">
      <c r="A27" s="33" t="s">
        <v>347</v>
      </c>
      <c r="B27" s="165">
        <f>IFERROR((DEBT!B7-BS!B5)/PL!B21,0)</f>
        <v>1.4699426387714487</v>
      </c>
      <c r="C27" s="165">
        <f>IFERROR((DEBT!C7-BS!C5)/PL!C21,0)</f>
        <v>0.93536144893837714</v>
      </c>
      <c r="D27" s="165">
        <f>IFERROR((DEBT!D7-BS!D5)/PL!D21,0)</f>
        <v>1.5496484055923312</v>
      </c>
      <c r="E27" s="165">
        <f>IFERROR((DEBT!E7-BS!E5)/PL!E21,0)</f>
        <v>1.164252070851451</v>
      </c>
      <c r="F27" s="165">
        <f>IFERROR((DEBT!F7-BS!F5)/PL!F21,0)</f>
        <v>0.82497320586691592</v>
      </c>
      <c r="G27" s="165">
        <f>IFERROR((DEBT!G7-BS!G5)/PL!G21,0)</f>
        <v>0.42413325096998533</v>
      </c>
      <c r="H27" s="165">
        <f>IFERROR((DEBT!H7-BS!H5)/PL!H21,0)</f>
        <v>2.2233789163077732E-2</v>
      </c>
      <c r="I27" s="165">
        <f>IFERROR((DEBT!I7-BS!I5)/PL!I21,0)</f>
        <v>-0.39810676333211986</v>
      </c>
      <c r="J27" s="170">
        <f>IFERROR((DEBT!J7-BS!J5)/PL!J21,0)</f>
        <v>-0.88787443867335092</v>
      </c>
    </row>
    <row r="28" spans="1:10" ht="13.5" customHeight="1" x14ac:dyDescent="0.25">
      <c r="A28" s="33" t="s">
        <v>348</v>
      </c>
      <c r="B28" s="165">
        <f>IFERROR(DEBT!B7/BS!B29,0)</f>
        <v>0.50088201950692057</v>
      </c>
      <c r="C28" s="165">
        <f>IFERROR(DEBT!C7/BS!C29,0)</f>
        <v>0.21547915674370427</v>
      </c>
      <c r="D28" s="165">
        <f>IFERROR(DEBT!D7/BS!D29,0)</f>
        <v>0.27942093318586286</v>
      </c>
      <c r="E28" s="165">
        <f>IFERROR(DEBT!E7/BS!E29,0)</f>
        <v>0.22209100426279679</v>
      </c>
      <c r="F28" s="165">
        <f>IFERROR(DEBT!F7/BS!F29,0)</f>
        <v>0.17111641125812507</v>
      </c>
      <c r="G28" s="165">
        <f>IFERROR(DEBT!G7/BS!G29,0)</f>
        <v>0.12103508292447285</v>
      </c>
      <c r="H28" s="165">
        <f>IFERROR(DEBT!H7/BS!H29,0)</f>
        <v>7.4846314354709426E-2</v>
      </c>
      <c r="I28" s="165">
        <f>IFERROR(DEBT!I7/BS!I29,0)</f>
        <v>3.3947495913124487E-2</v>
      </c>
      <c r="J28" s="170">
        <f>IFERROR(DEBT!J7/BS!J29,0)</f>
        <v>4.313867298191338E-2</v>
      </c>
    </row>
    <row r="29" spans="1:10" ht="13.5" customHeight="1" x14ac:dyDescent="0.25">
      <c r="A29" s="33" t="s">
        <v>349</v>
      </c>
      <c r="B29" s="164">
        <f>IFERROR(DEBT!B7/BS!B14,0)</f>
        <v>0.23006645151692107</v>
      </c>
      <c r="C29" s="164">
        <f>IFERROR(DEBT!C7/BS!C14,0)</f>
        <v>0.12130025439608287</v>
      </c>
      <c r="D29" s="164">
        <f>IFERROR(DEBT!D7/BS!D14,0)</f>
        <v>0.15519295326788343</v>
      </c>
      <c r="E29" s="164">
        <f>IFERROR(DEBT!E7/BS!E14,0)</f>
        <v>0.13185512672455857</v>
      </c>
      <c r="F29" s="164">
        <f>IFERROR(DEBT!F7/BS!F14,0)</f>
        <v>0.10428802998465729</v>
      </c>
      <c r="G29" s="164">
        <f>IFERROR(DEBT!G7/BS!G14,0)</f>
        <v>7.632090396463366E-2</v>
      </c>
      <c r="H29" s="164">
        <f>IFERROR(DEBT!H7/BS!H14,0)</f>
        <v>4.9104802057017907E-2</v>
      </c>
      <c r="I29" s="164">
        <f>IFERROR(DEBT!I7/BS!I14,0)</f>
        <v>2.3206959072340827E-2</v>
      </c>
      <c r="J29" s="70">
        <f>IFERROR(DEBT!J7/BS!J14,0)</f>
        <v>3.4875253119837774E-2</v>
      </c>
    </row>
    <row r="30" spans="1:10" ht="13.5" customHeight="1" x14ac:dyDescent="0.25">
      <c r="A30" s="33" t="s">
        <v>350</v>
      </c>
      <c r="B30" s="165">
        <f>IFERROR(PL!B12/DEBT!B8,0)</f>
        <v>0.86579840603796909</v>
      </c>
      <c r="C30" s="165">
        <f>IFERROR(PL!C12/DEBT!C8,0)</f>
        <v>1.3443659227127402</v>
      </c>
      <c r="D30" s="165">
        <f>IFERROR(PL!D12/DEBT!D8,0)</f>
        <v>1.4914175133814398</v>
      </c>
      <c r="E30" s="165">
        <f>IFERROR(PL!E12/DEBT!E8,0)</f>
        <v>2.1856914420500422</v>
      </c>
      <c r="F30" s="165">
        <f>IFERROR(PL!F12/DEBT!F8,0)</f>
        <v>3.8630999102048147</v>
      </c>
      <c r="G30" s="165">
        <f>IFERROR(PL!G12/DEBT!G8,0)</f>
        <v>7.2399250210846535</v>
      </c>
      <c r="H30" s="165">
        <f>IFERROR(PL!H12/DEBT!H8,0)</f>
        <v>14.208205429748913</v>
      </c>
      <c r="I30" s="165">
        <f>IFERROR(PL!I12/DEBT!I8,0)</f>
        <v>30.156242519524319</v>
      </c>
      <c r="J30" s="170">
        <f>IFERROR(PL!J12/PL!J14,0)</f>
        <v>227.75344000759623</v>
      </c>
    </row>
    <row r="31" spans="1:10" ht="13.5" customHeight="1" x14ac:dyDescent="0.25">
      <c r="A31" s="33" t="s">
        <v>351</v>
      </c>
      <c r="B31" s="169">
        <f>CF!B10+CF!B13</f>
        <v>105195559</v>
      </c>
      <c r="C31" s="169">
        <f>CF!C10+CF!C13</f>
        <v>67068477</v>
      </c>
      <c r="D31" s="169">
        <f>CF!D10+CF!D13</f>
        <v>-3899424</v>
      </c>
      <c r="E31" s="169">
        <f>CF!E10+CF!E13</f>
        <v>65768751.049698606</v>
      </c>
      <c r="F31" s="169">
        <f>CF!F10+CF!F13</f>
        <v>29895200.31319578</v>
      </c>
      <c r="G31" s="169">
        <f>CF!G10+CF!G13</f>
        <v>69389526.05164583</v>
      </c>
      <c r="H31" s="169">
        <f>CF!H10+CF!H13</f>
        <v>95538934.048659593</v>
      </c>
      <c r="I31" s="169">
        <f>CF!I10+CF!I13</f>
        <v>121462898.87809077</v>
      </c>
      <c r="J31" s="76">
        <f>IFERROR(CF!J10+CF!J13,0)</f>
        <v>1173583729.1264834</v>
      </c>
    </row>
    <row r="32" spans="1:10" ht="13.5" customHeight="1" x14ac:dyDescent="0.25">
      <c r="A32" s="33" t="s">
        <v>352</v>
      </c>
      <c r="B32" s="164">
        <f>IFERROR((CF!B10+CF!B13)/PL!B21,0)</f>
        <v>0.50491189378670409</v>
      </c>
      <c r="C32" s="164">
        <f>IFERROR((CF!C10+CF!C13)/PL!C21,0)</f>
        <v>0.293741041258686</v>
      </c>
      <c r="D32" s="164">
        <f>IFERROR((CF!D10+CF!D13)/PL!D21,0)</f>
        <v>-2.267507732369508E-2</v>
      </c>
      <c r="E32" s="164">
        <f>IFERROR((CF!E10+CF!E13)/PL!E21,0)</f>
        <v>0.38147671258857585</v>
      </c>
      <c r="F32" s="164">
        <f>IFERROR((CF!F10+CF!F13)/PL!F21,0)</f>
        <v>0.14437136695023031</v>
      </c>
      <c r="G32" s="164">
        <f>IFERROR((CF!G10+CF!G13)/PL!G21,0)</f>
        <v>0.29012926493210617</v>
      </c>
      <c r="H32" s="164">
        <f>IFERROR((CF!H10+CF!H13)/PL!H21,0)</f>
        <v>0.36003223102446263</v>
      </c>
      <c r="I32" s="164">
        <f>IFERROR((CF!I10+CF!I13)/PL!I21,0)</f>
        <v>0.41843190800803437</v>
      </c>
      <c r="J32" s="70">
        <f>IFERROR((CF!J10+CF!J13)/PL!J21,0)</f>
        <v>0.80828276425840384</v>
      </c>
    </row>
    <row r="34" spans="1:10" ht="18" customHeight="1" x14ac:dyDescent="0.25">
      <c r="A34" s="171" t="s">
        <v>353</v>
      </c>
      <c r="B34" s="171"/>
      <c r="C34" s="171"/>
      <c r="D34" s="171"/>
      <c r="E34" s="171"/>
      <c r="F34" s="171"/>
      <c r="G34" s="171"/>
      <c r="H34" s="171"/>
      <c r="I34" s="171"/>
      <c r="J34" s="171"/>
    </row>
    <row r="35" spans="1:10" ht="13.5" customHeight="1" x14ac:dyDescent="0.25">
      <c r="A35" s="33" t="s">
        <v>354</v>
      </c>
      <c r="B35" s="164">
        <f>IFERROR(PL!B4/PL!B4-1,"N/A")</f>
        <v>0</v>
      </c>
      <c r="C35" s="164">
        <f>IFERROR(PL!C4/PL!B4-1,"N/A")</f>
        <v>4.8752290228581963E-4</v>
      </c>
      <c r="D35" s="164">
        <f>IFERROR(PL!D4/PL!C4-1,"N/A")</f>
        <v>-7.7927071470025866E-2</v>
      </c>
      <c r="E35" s="164">
        <f>IFERROR(PL!E4/PL!D4-1,"N/A")</f>
        <v>-9.246510585801937E-2</v>
      </c>
      <c r="F35" s="164">
        <f>IFERROR(PL!F4/PL!E4-1,"N/A")</f>
        <v>0.17999999999999994</v>
      </c>
      <c r="G35" s="164">
        <f>IFERROR(PL!G4/PL!F4-1,"N/A")</f>
        <v>0.14000000000000012</v>
      </c>
      <c r="H35" s="164">
        <f>IFERROR(PL!H4/PL!G4-1,"N/A")</f>
        <v>0.10000000000000031</v>
      </c>
      <c r="I35" s="164">
        <f>IFERROR(PL!I4/PL!H4-1,"N/A")</f>
        <v>8.0000000000000071E-2</v>
      </c>
      <c r="J35" s="70">
        <f>IFERROR(PL!J4/PL!I4-1,"N/A")</f>
        <v>8.0000000000000071E-2</v>
      </c>
    </row>
    <row r="36" spans="1:10" ht="13.5" customHeight="1" x14ac:dyDescent="0.25">
      <c r="A36" s="33" t="s">
        <v>355</v>
      </c>
      <c r="B36" s="164">
        <f>IFERROR(PL!B21/PL!B21-1,"N/A")</f>
        <v>0</v>
      </c>
      <c r="C36" s="164">
        <f>IFERROR(PL!C21/PL!B21-1,"N/A")</f>
        <v>9.5902732431182969E-2</v>
      </c>
      <c r="D36" s="164">
        <f>IFERROR(PL!D21/PL!C21-1,"N/A")</f>
        <v>-0.24682157815241734</v>
      </c>
      <c r="E36" s="164">
        <f>IFERROR(PL!E21/PL!D21-1,"N/A")</f>
        <v>2.5357761298725467E-3</v>
      </c>
      <c r="F36" s="164">
        <f>IFERROR(PL!F21/PL!E21-1,"N/A")</f>
        <v>0.20107142857142857</v>
      </c>
      <c r="G36" s="164">
        <f>IFERROR(PL!G21/PL!F21-1,"N/A")</f>
        <v>0.15500000000000047</v>
      </c>
      <c r="H36" s="164">
        <f>IFERROR(PL!H21/PL!G21-1,"N/A")</f>
        <v>0.1095238095238098</v>
      </c>
      <c r="I36" s="164">
        <f>IFERROR(PL!I21/PL!H21-1,"N/A")</f>
        <v>9.3905579399141903E-2</v>
      </c>
      <c r="J36" s="70">
        <f>IFERROR(PL!J21/PL!I21-1,"N/A")</f>
        <v>4.00186440677966</v>
      </c>
    </row>
    <row r="37" spans="1:10" ht="13.5" customHeight="1" x14ac:dyDescent="0.25">
      <c r="A37" s="33" t="s">
        <v>356</v>
      </c>
      <c r="B37" s="164">
        <f>IFERROR(PL!B18/PL!B18-1,"N/A")</f>
        <v>0</v>
      </c>
      <c r="C37" s="164">
        <f>IFERROR(PL!C18/PL!B18-1,"N/A")</f>
        <v>8.586691526104568</v>
      </c>
      <c r="D37" s="164">
        <f>IFERROR(PL!D18/PL!C18-1,"N/A")</f>
        <v>-0.88707947090403949</v>
      </c>
      <c r="E37" s="164">
        <f>IFERROR(PL!E18/PL!D18-1,"N/A")</f>
        <v>4.7425735978855688E-2</v>
      </c>
      <c r="F37" s="164">
        <f>IFERROR(PL!F18/PL!E18-1,"N/A")</f>
        <v>1.0710011691192545</v>
      </c>
      <c r="G37" s="164">
        <f>IFERROR(PL!G18/PL!F18-1,"N/A")</f>
        <v>0.49271960646699586</v>
      </c>
      <c r="H37" s="164">
        <f>IFERROR(PL!H18/PL!G18-1,"N/A")</f>
        <v>0.25881590373521091</v>
      </c>
      <c r="I37" s="164">
        <f>IFERROR(PL!I18/PL!H18-1,"N/A")</f>
        <v>0.17436420864411017</v>
      </c>
      <c r="J37" s="70">
        <f>IFERROR(PL!J18/PL!I18-1,"N/A")</f>
        <v>6.8578360990719842</v>
      </c>
    </row>
    <row r="38" spans="1:10" ht="13.5" customHeight="1" x14ac:dyDescent="0.25">
      <c r="A38" s="33" t="s">
        <v>357</v>
      </c>
      <c r="B38" s="164">
        <f>IFERROR(-CAPEX_DA!B7/PL!B4,0)</f>
        <v>8.6988146924443316E-2</v>
      </c>
      <c r="C38" s="164">
        <f>IFERROR(-CAPEX_DA!C7/PL!C4,0)</f>
        <v>0.10545850940966565</v>
      </c>
      <c r="D38" s="164">
        <f>IFERROR(-CAPEX_DA!D7/PL!D4,0)</f>
        <v>8.1708223196097066E-2</v>
      </c>
      <c r="E38" s="164">
        <f>IFERROR(-CAPEX_DA!E7/PL!E4,0)</f>
        <v>8.7999999999999995E-2</v>
      </c>
      <c r="F38" s="164">
        <f>IFERROR(-CAPEX_DA!F7/PL!F4,0)</f>
        <v>8.5000000000000006E-2</v>
      </c>
      <c r="G38" s="164">
        <f>IFERROR(-CAPEX_DA!G7/PL!G4,0)</f>
        <v>8.2000000000000003E-2</v>
      </c>
      <c r="H38" s="164">
        <f>IFERROR(-CAPEX_DA!H7/PL!H4,0)</f>
        <v>0.08</v>
      </c>
      <c r="I38" s="164">
        <f>IFERROR(-CAPEX_DA!I7/PL!I4,0)</f>
        <v>7.8E-2</v>
      </c>
      <c r="J38" s="70">
        <f>IFERROR(-CAPEX_DA!J7/PL!J4,0)</f>
        <v>7.8E-2</v>
      </c>
    </row>
    <row r="39" spans="1:10" ht="13.5" customHeight="1" x14ac:dyDescent="0.25">
      <c r="A39" s="33" t="s">
        <v>358</v>
      </c>
      <c r="B39" s="169">
        <f>PL!B4</f>
        <v>919312709</v>
      </c>
      <c r="C39" s="169">
        <f>PL!C4</f>
        <v>919760895</v>
      </c>
      <c r="D39" s="169">
        <f>PL!D4</f>
        <v>848086622</v>
      </c>
      <c r="E39" s="169">
        <f>PL!E4</f>
        <v>769668202.71999991</v>
      </c>
      <c r="F39" s="169">
        <f>PL!F4</f>
        <v>908208479.20959985</v>
      </c>
      <c r="G39" s="169">
        <f>PL!G4</f>
        <v>1035357666.2989439</v>
      </c>
      <c r="H39" s="169">
        <f>PL!H4</f>
        <v>1138893432.9288385</v>
      </c>
      <c r="I39" s="169">
        <f>PL!I4</f>
        <v>1230004907.5631456</v>
      </c>
      <c r="J39" s="76">
        <f>IFERROR(PL!J4,0)</f>
        <v>1328405300.1681974</v>
      </c>
    </row>
    <row r="40" spans="1:10" ht="13.5" customHeight="1" x14ac:dyDescent="0.25">
      <c r="A40" s="33" t="s">
        <v>359</v>
      </c>
      <c r="B40" s="169">
        <f>PL!B21</f>
        <v>208344387.00000006</v>
      </c>
      <c r="C40" s="169">
        <f>PL!C21</f>
        <v>228325182.99999988</v>
      </c>
      <c r="D40" s="169">
        <f>PL!D21</f>
        <v>171969601.00000042</v>
      </c>
      <c r="E40" s="169">
        <f>PL!E21</f>
        <v>172405677.40927994</v>
      </c>
      <c r="F40" s="169">
        <f>PL!F21</f>
        <v>207071533.25978872</v>
      </c>
      <c r="G40" s="169">
        <f>PL!G21</f>
        <v>239167620.91505605</v>
      </c>
      <c r="H40" s="169">
        <f>PL!H21</f>
        <v>265362169.87241939</v>
      </c>
      <c r="I40" s="169">
        <f>PL!I21</f>
        <v>290281158.18490243</v>
      </c>
      <c r="J40" s="76">
        <f>IFERROR(PL!J21,0)</f>
        <v>1451946993.0838397</v>
      </c>
    </row>
    <row r="41" spans="1:10" ht="13.5" customHeight="1" x14ac:dyDescent="0.25">
      <c r="A41" s="33" t="s">
        <v>360</v>
      </c>
      <c r="B41" s="169">
        <f>PL!B18</f>
        <v>21080659</v>
      </c>
      <c r="C41" s="169">
        <f>PL!C18</f>
        <v>202093775</v>
      </c>
      <c r="D41" s="169">
        <f>PL!D18</f>
        <v>22820536</v>
      </c>
      <c r="E41" s="169">
        <f>PL!E18</f>
        <v>23902816.71523197</v>
      </c>
      <c r="F41" s="169">
        <f>PL!F18</f>
        <v>49502761.362488672</v>
      </c>
      <c r="G41" s="169">
        <f>PL!G18</f>
        <v>73893742.460043699</v>
      </c>
      <c r="H41" s="169">
        <f>PL!H18</f>
        <v>93018618.195216835</v>
      </c>
      <c r="I41" s="169">
        <f>PL!I18</f>
        <v>109237735.94599444</v>
      </c>
      <c r="J41" s="76">
        <f>IFERROR(PL!J18,0)</f>
        <v>858372224.89732838</v>
      </c>
    </row>
    <row r="42" spans="1:10" ht="13.5" customHeight="1" x14ac:dyDescent="0.25">
      <c r="A42" s="33" t="s">
        <v>361</v>
      </c>
      <c r="B42" s="168">
        <f>PL!B23</f>
        <v>0</v>
      </c>
      <c r="C42" s="168">
        <f>PL!C23</f>
        <v>0</v>
      </c>
      <c r="D42" s="168">
        <f>PL!D23</f>
        <v>0</v>
      </c>
      <c r="E42" s="168">
        <f>PL!E23</f>
        <v>40.103647685221738</v>
      </c>
      <c r="F42" s="168">
        <f>PL!F23</f>
        <v>83.054701242040906</v>
      </c>
      <c r="G42" s="168">
        <f>PL!G23</f>
        <v>123.97738095325322</v>
      </c>
      <c r="H42" s="168">
        <f>PL!H23</f>
        <v>156.06469884739397</v>
      </c>
      <c r="I42" s="168">
        <f>PL!I23</f>
        <v>183.27679655920116</v>
      </c>
      <c r="J42" s="80">
        <f>IFERROR(PL!J23,0)</f>
        <v>1440.1590281251629</v>
      </c>
    </row>
    <row r="44" spans="1:10" ht="18" customHeight="1" x14ac:dyDescent="0.25">
      <c r="A44" s="172" t="s">
        <v>362</v>
      </c>
      <c r="B44" s="172"/>
      <c r="C44" s="172"/>
      <c r="D44" s="172"/>
      <c r="E44" s="172"/>
      <c r="F44" s="172"/>
      <c r="G44" s="172"/>
      <c r="H44" s="172"/>
      <c r="I44" s="172"/>
      <c r="J44" s="172"/>
    </row>
    <row r="45" spans="1:10" ht="13.5" customHeight="1" x14ac:dyDescent="0.25">
      <c r="A45" s="33" t="s">
        <v>363</v>
      </c>
      <c r="C45" s="173" t="s">
        <v>364</v>
      </c>
      <c r="D45" s="173" t="s">
        <v>364</v>
      </c>
      <c r="E45" s="173" t="s">
        <v>364</v>
      </c>
      <c r="F45" s="173" t="s">
        <v>364</v>
      </c>
      <c r="G45" s="173" t="s">
        <v>364</v>
      </c>
      <c r="H45" s="173" t="s">
        <v>364</v>
      </c>
      <c r="I45" s="173" t="s">
        <v>364</v>
      </c>
      <c r="J45" s="173" t="s">
        <v>364</v>
      </c>
    </row>
    <row r="46" spans="1:10" ht="13.5" customHeight="1" x14ac:dyDescent="0.25">
      <c r="A46" s="33" t="s">
        <v>365</v>
      </c>
      <c r="C46" s="76">
        <f>IFERROR(INPUTS!#REF!,0)</f>
        <v>0</v>
      </c>
      <c r="D46" s="76">
        <f>IFERROR(INPUTS!B149,0)</f>
        <v>0</v>
      </c>
      <c r="E46" s="76">
        <f>IFERROR(INPUTS!C149,0)</f>
        <v>0</v>
      </c>
      <c r="F46" s="76">
        <f>IFERROR(INPUTS!E149,0)</f>
        <v>596026</v>
      </c>
      <c r="G46" s="76">
        <f>IFERROR(INPUTS!F149,0)</f>
        <v>596026</v>
      </c>
      <c r="H46" s="76">
        <f>IFERROR(INPUTS!G149,0)</f>
        <v>596026</v>
      </c>
      <c r="I46" s="76">
        <f>IFERROR(INPUTS!H149,0)</f>
        <v>596026</v>
      </c>
      <c r="J46" s="76">
        <f>IFERROR(INPUTS!I149,0)</f>
        <v>596026</v>
      </c>
    </row>
    <row r="47" spans="1:10" ht="13.5" customHeight="1" x14ac:dyDescent="0.25">
      <c r="A47" s="33" t="s">
        <v>366</v>
      </c>
      <c r="C47" s="173" t="s">
        <v>364</v>
      </c>
      <c r="D47" s="173" t="s">
        <v>364</v>
      </c>
      <c r="E47" s="173" t="s">
        <v>364</v>
      </c>
      <c r="F47" s="173" t="s">
        <v>364</v>
      </c>
      <c r="G47" s="173" t="s">
        <v>364</v>
      </c>
      <c r="H47" s="173" t="s">
        <v>364</v>
      </c>
      <c r="I47" s="173" t="s">
        <v>364</v>
      </c>
      <c r="J47" s="173" t="s">
        <v>364</v>
      </c>
    </row>
    <row r="48" spans="1:10" ht="13.5" customHeight="1" x14ac:dyDescent="0.25">
      <c r="A48" s="33" t="s">
        <v>367</v>
      </c>
      <c r="C48" s="76" t="s">
        <v>368</v>
      </c>
      <c r="D48" s="76" t="s">
        <v>368</v>
      </c>
      <c r="E48" s="76" t="s">
        <v>368</v>
      </c>
      <c r="F48" s="76" t="s">
        <v>368</v>
      </c>
      <c r="G48" s="76" t="s">
        <v>368</v>
      </c>
      <c r="H48" s="76" t="s">
        <v>368</v>
      </c>
      <c r="I48" s="76" t="s">
        <v>368</v>
      </c>
      <c r="J48" s="76" t="s">
        <v>368</v>
      </c>
    </row>
    <row r="49" spans="1:10" ht="13.5" customHeight="1" x14ac:dyDescent="0.25">
      <c r="A49" s="33" t="s">
        <v>369</v>
      </c>
      <c r="C49" s="170" t="s">
        <v>370</v>
      </c>
      <c r="D49" s="170" t="s">
        <v>370</v>
      </c>
      <c r="E49" s="170" t="s">
        <v>370</v>
      </c>
      <c r="F49" s="170" t="s">
        <v>370</v>
      </c>
      <c r="G49" s="170" t="s">
        <v>370</v>
      </c>
      <c r="H49" s="170" t="s">
        <v>370</v>
      </c>
      <c r="I49" s="170" t="s">
        <v>370</v>
      </c>
      <c r="J49" s="170" t="s">
        <v>370</v>
      </c>
    </row>
    <row r="50" spans="1:10" ht="13.5" customHeight="1" x14ac:dyDescent="0.25">
      <c r="A50" s="33" t="s">
        <v>371</v>
      </c>
      <c r="C50" s="170" t="s">
        <v>372</v>
      </c>
      <c r="D50" s="170" t="s">
        <v>372</v>
      </c>
      <c r="E50" s="170" t="s">
        <v>372</v>
      </c>
      <c r="F50" s="170" t="s">
        <v>372</v>
      </c>
      <c r="G50" s="170" t="s">
        <v>372</v>
      </c>
      <c r="H50" s="170" t="s">
        <v>372</v>
      </c>
      <c r="I50" s="170" t="s">
        <v>372</v>
      </c>
      <c r="J50" s="170" t="s">
        <v>372</v>
      </c>
    </row>
    <row r="51" spans="1:10" ht="13.5" customHeight="1" x14ac:dyDescent="0.25">
      <c r="A51" s="33" t="s">
        <v>373</v>
      </c>
      <c r="C51" s="170" t="s">
        <v>374</v>
      </c>
      <c r="D51" s="170" t="s">
        <v>374</v>
      </c>
      <c r="E51" s="170" t="s">
        <v>374</v>
      </c>
      <c r="F51" s="170" t="s">
        <v>374</v>
      </c>
      <c r="G51" s="170" t="s">
        <v>374</v>
      </c>
      <c r="H51" s="170" t="s">
        <v>374</v>
      </c>
      <c r="I51" s="170" t="s">
        <v>374</v>
      </c>
      <c r="J51" s="170" t="s">
        <v>374</v>
      </c>
    </row>
    <row r="52" spans="1:10" ht="13.5" customHeight="1" x14ac:dyDescent="0.25">
      <c r="A52" s="33" t="s">
        <v>375</v>
      </c>
      <c r="C52" s="170" t="s">
        <v>376</v>
      </c>
      <c r="D52" s="170" t="s">
        <v>376</v>
      </c>
      <c r="E52" s="170" t="s">
        <v>376</v>
      </c>
      <c r="F52" s="170" t="s">
        <v>376</v>
      </c>
      <c r="G52" s="170" t="s">
        <v>376</v>
      </c>
      <c r="H52" s="170" t="s">
        <v>376</v>
      </c>
      <c r="I52" s="170" t="s">
        <v>376</v>
      </c>
      <c r="J52" s="170" t="s">
        <v>376</v>
      </c>
    </row>
  </sheetData>
  <mergeCells count="8">
    <mergeCell ref="A25:J25"/>
    <mergeCell ref="A34:J34"/>
    <mergeCell ref="A44:J44"/>
    <mergeCell ref="A1:J1"/>
    <mergeCell ref="A2:J2"/>
    <mergeCell ref="A4:J4"/>
    <mergeCell ref="A13:J13"/>
    <mergeCell ref="A19:J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COVER</vt:lpstr>
      <vt:lpstr>INPUTS</vt:lpstr>
      <vt:lpstr>REVENUE</vt:lpstr>
      <vt:lpstr>COGS_OPEX</vt:lpstr>
      <vt:lpstr>NWC</vt:lpstr>
      <vt:lpstr>CAPEX_DA</vt:lpstr>
      <vt:lpstr>DEBT</vt:lpstr>
      <vt:lpstr>PL</vt:lpstr>
      <vt:lpstr>BS</vt:lpstr>
      <vt:lpstr>CF</vt:lpstr>
      <vt:lpstr>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gonzalo dalmasso</cp:lastModifiedBy>
  <cp:revision>0</cp:revision>
  <dcterms:created xsi:type="dcterms:W3CDTF">2026-05-21T00:19:45Z</dcterms:created>
  <dcterms:modified xsi:type="dcterms:W3CDTF">2026-06-02T20:55:06Z</dcterms:modified>
  <dc:language>en-US</dc:language>
</cp:coreProperties>
</file>