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nza\Documents\Despues de lo peor\NoNighter\"/>
    </mc:Choice>
  </mc:AlternateContent>
  <xr:revisionPtr revIDLastSave="0" documentId="13_ncr:1_{A8CA4014-28FF-40B1-820C-DBF9CE14DF57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COVER" sheetId="1" r:id="rId1"/>
    <sheet name="INPUTS" sheetId="2" r:id="rId2"/>
    <sheet name="REVENUE" sheetId="3" r:id="rId3"/>
    <sheet name="COGS_OPEX" sheetId="4" r:id="rId4"/>
    <sheet name="NWC" sheetId="5" r:id="rId5"/>
    <sheet name="CAPEX_DA" sheetId="6" r:id="rId6"/>
    <sheet name="DEBT" sheetId="7" r:id="rId7"/>
    <sheet name="PL" sheetId="8" r:id="rId8"/>
    <sheet name="BS" sheetId="9" r:id="rId9"/>
    <sheet name="CF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0" l="1"/>
  <c r="C31" i="9"/>
  <c r="E23" i="10"/>
  <c r="D23" i="10"/>
  <c r="C23" i="10"/>
  <c r="J20" i="10"/>
  <c r="I20" i="10"/>
  <c r="H20" i="10"/>
  <c r="G20" i="10"/>
  <c r="F20" i="10"/>
  <c r="J19" i="10"/>
  <c r="I19" i="10"/>
  <c r="H19" i="10"/>
  <c r="G19" i="10"/>
  <c r="F19" i="10"/>
  <c r="E7" i="10"/>
  <c r="D7" i="10"/>
  <c r="C7" i="10"/>
  <c r="E29" i="9"/>
  <c r="C29" i="9"/>
  <c r="H26" i="9"/>
  <c r="I26" i="9" s="1"/>
  <c r="G26" i="9"/>
  <c r="F26" i="9"/>
  <c r="E23" i="9"/>
  <c r="E30" i="9" s="1"/>
  <c r="D23" i="9"/>
  <c r="D28" i="9" s="1"/>
  <c r="D29" i="9" s="1"/>
  <c r="F22" i="9"/>
  <c r="G22" i="9" s="1"/>
  <c r="H22" i="9" s="1"/>
  <c r="I22" i="9" s="1"/>
  <c r="J22" i="9" s="1"/>
  <c r="E20" i="9"/>
  <c r="D20" i="9"/>
  <c r="G19" i="9"/>
  <c r="H19" i="9" s="1"/>
  <c r="I19" i="9" s="1"/>
  <c r="J19" i="9" s="1"/>
  <c r="F19" i="9"/>
  <c r="J18" i="9"/>
  <c r="I18" i="9"/>
  <c r="H18" i="9"/>
  <c r="G18" i="9"/>
  <c r="F18" i="9"/>
  <c r="E17" i="9"/>
  <c r="D17" i="9"/>
  <c r="C17" i="9"/>
  <c r="C20" i="9" s="1"/>
  <c r="C23" i="9" s="1"/>
  <c r="C30" i="9" s="1"/>
  <c r="D14" i="9"/>
  <c r="H13" i="9"/>
  <c r="I13" i="9" s="1"/>
  <c r="J13" i="9" s="1"/>
  <c r="G13" i="9"/>
  <c r="F13" i="9"/>
  <c r="F12" i="9"/>
  <c r="G12" i="9" s="1"/>
  <c r="H12" i="9" s="1"/>
  <c r="I12" i="9" s="1"/>
  <c r="J12" i="9" s="1"/>
  <c r="F11" i="9"/>
  <c r="G11" i="9" s="1"/>
  <c r="H11" i="9" s="1"/>
  <c r="I11" i="9" s="1"/>
  <c r="J11" i="9" s="1"/>
  <c r="E9" i="9"/>
  <c r="E14" i="9" s="1"/>
  <c r="E31" i="9" s="1"/>
  <c r="D9" i="9"/>
  <c r="C9" i="9"/>
  <c r="C14" i="9" s="1"/>
  <c r="F8" i="9"/>
  <c r="G8" i="9" s="1"/>
  <c r="H8" i="9" s="1"/>
  <c r="I8" i="9" s="1"/>
  <c r="J8" i="9" s="1"/>
  <c r="J15" i="8"/>
  <c r="I15" i="8"/>
  <c r="H15" i="8"/>
  <c r="G15" i="8"/>
  <c r="F15" i="8"/>
  <c r="E14" i="8"/>
  <c r="D14" i="8"/>
  <c r="C14" i="8"/>
  <c r="H10" i="8"/>
  <c r="F10" i="8"/>
  <c r="E10" i="8"/>
  <c r="D10" i="8"/>
  <c r="C10" i="8"/>
  <c r="J9" i="8"/>
  <c r="I9" i="8"/>
  <c r="E9" i="8"/>
  <c r="D9" i="8"/>
  <c r="C9" i="8"/>
  <c r="C4" i="8"/>
  <c r="F14" i="6"/>
  <c r="J10" i="6"/>
  <c r="I10" i="6"/>
  <c r="H10" i="6"/>
  <c r="G10" i="6"/>
  <c r="F10" i="6"/>
  <c r="J6" i="6"/>
  <c r="I6" i="6"/>
  <c r="H6" i="6"/>
  <c r="G6" i="6"/>
  <c r="F6" i="6"/>
  <c r="E17" i="5"/>
  <c r="D17" i="5"/>
  <c r="E16" i="5"/>
  <c r="D16" i="5"/>
  <c r="C16" i="5"/>
  <c r="J10" i="5"/>
  <c r="I10" i="5"/>
  <c r="H10" i="5"/>
  <c r="G10" i="5"/>
  <c r="F10" i="5"/>
  <c r="J9" i="5"/>
  <c r="I9" i="5"/>
  <c r="H9" i="5"/>
  <c r="G9" i="5"/>
  <c r="F9" i="5"/>
  <c r="J8" i="5"/>
  <c r="I8" i="5"/>
  <c r="H8" i="5"/>
  <c r="G8" i="5"/>
  <c r="F8" i="5"/>
  <c r="C4" i="5"/>
  <c r="J16" i="4"/>
  <c r="J10" i="8" s="1"/>
  <c r="I16" i="4"/>
  <c r="I10" i="8" s="1"/>
  <c r="H16" i="4"/>
  <c r="G16" i="4"/>
  <c r="G10" i="8" s="1"/>
  <c r="F16" i="4"/>
  <c r="J15" i="4"/>
  <c r="I15" i="4"/>
  <c r="I7" i="10" s="1"/>
  <c r="H15" i="4"/>
  <c r="H9" i="8" s="1"/>
  <c r="G15" i="4"/>
  <c r="G9" i="8" s="1"/>
  <c r="F15" i="4"/>
  <c r="F9" i="8" s="1"/>
  <c r="C14" i="4"/>
  <c r="C17" i="4" s="1"/>
  <c r="J13" i="4"/>
  <c r="I13" i="4"/>
  <c r="H13" i="4"/>
  <c r="G13" i="4"/>
  <c r="F13" i="4"/>
  <c r="J6" i="4"/>
  <c r="I6" i="4"/>
  <c r="H6" i="4"/>
  <c r="G6" i="4"/>
  <c r="F6" i="4"/>
  <c r="C3" i="4"/>
  <c r="E13" i="3"/>
  <c r="E12" i="3"/>
  <c r="E4" i="5" s="1"/>
  <c r="D12" i="3"/>
  <c r="D13" i="3" s="1"/>
  <c r="C12" i="3"/>
  <c r="C3" i="6" s="1"/>
  <c r="F10" i="3"/>
  <c r="E10" i="3"/>
  <c r="D10" i="3"/>
  <c r="F9" i="3"/>
  <c r="G9" i="3" s="1"/>
  <c r="F7" i="3"/>
  <c r="E7" i="3"/>
  <c r="D7" i="3"/>
  <c r="H6" i="3"/>
  <c r="H7" i="3" s="1"/>
  <c r="G6" i="3"/>
  <c r="G7" i="3" s="1"/>
  <c r="F6" i="3"/>
  <c r="F12" i="3" s="1"/>
  <c r="F4" i="3"/>
  <c r="E4" i="3"/>
  <c r="D4" i="3"/>
  <c r="G3" i="3"/>
  <c r="F3" i="3"/>
  <c r="D67" i="2"/>
  <c r="C67" i="2"/>
  <c r="E64" i="2"/>
  <c r="D64" i="2"/>
  <c r="C64" i="2"/>
  <c r="E58" i="2"/>
  <c r="D58" i="2"/>
  <c r="C58" i="2"/>
  <c r="E54" i="2"/>
  <c r="E67" i="2" s="1"/>
  <c r="D54" i="2"/>
  <c r="C54" i="2"/>
  <c r="C43" i="2"/>
  <c r="C46" i="2" s="1"/>
  <c r="E39" i="2"/>
  <c r="E43" i="2" s="1"/>
  <c r="E46" i="2" s="1"/>
  <c r="D39" i="2"/>
  <c r="D43" i="2" s="1"/>
  <c r="D46" i="2" s="1"/>
  <c r="C39" i="2"/>
  <c r="E27" i="2"/>
  <c r="E33" i="2" s="1"/>
  <c r="D27" i="2"/>
  <c r="D33" i="2" s="1"/>
  <c r="C27" i="2"/>
  <c r="C33" i="2" s="1"/>
  <c r="E12" i="2"/>
  <c r="E16" i="2" s="1"/>
  <c r="E19" i="2" s="1"/>
  <c r="D12" i="2"/>
  <c r="D16" i="2" s="1"/>
  <c r="D19" i="2" s="1"/>
  <c r="C12" i="2"/>
  <c r="C16" i="2" s="1"/>
  <c r="C19" i="2" s="1"/>
  <c r="E6" i="2"/>
  <c r="D6" i="2"/>
  <c r="C6" i="2"/>
  <c r="E9" i="7"/>
  <c r="D9" i="7"/>
  <c r="J6" i="7"/>
  <c r="J18" i="10" s="1"/>
  <c r="J23" i="10" s="1"/>
  <c r="I6" i="7"/>
  <c r="I18" i="10" s="1"/>
  <c r="I23" i="10" s="1"/>
  <c r="H6" i="7"/>
  <c r="H18" i="10" s="1"/>
  <c r="H23" i="10" s="1"/>
  <c r="G6" i="7"/>
  <c r="G18" i="10" s="1"/>
  <c r="G23" i="10" s="1"/>
  <c r="F6" i="7"/>
  <c r="F18" i="10" s="1"/>
  <c r="F23" i="10" s="1"/>
  <c r="F4" i="7"/>
  <c r="F7" i="7" s="1"/>
  <c r="H9" i="3" l="1"/>
  <c r="G10" i="3"/>
  <c r="C11" i="6"/>
  <c r="C21" i="8" s="1"/>
  <c r="C6" i="10" s="1"/>
  <c r="C7" i="6"/>
  <c r="C13" i="10" s="1"/>
  <c r="C15" i="10" s="1"/>
  <c r="F8" i="7"/>
  <c r="F21" i="9"/>
  <c r="G4" i="7"/>
  <c r="D31" i="9"/>
  <c r="C9" i="4"/>
  <c r="J26" i="9"/>
  <c r="G12" i="3"/>
  <c r="F3" i="4"/>
  <c r="F13" i="3"/>
  <c r="F3" i="6"/>
  <c r="F4" i="5"/>
  <c r="F13" i="5" s="1"/>
  <c r="F4" i="8"/>
  <c r="D30" i="9"/>
  <c r="I6" i="3"/>
  <c r="D4" i="8"/>
  <c r="F7" i="10"/>
  <c r="C7" i="4"/>
  <c r="E4" i="8"/>
  <c r="G7" i="10"/>
  <c r="H7" i="10"/>
  <c r="C8" i="8"/>
  <c r="C11" i="8" s="1"/>
  <c r="H3" i="3"/>
  <c r="J7" i="10"/>
  <c r="D3" i="4"/>
  <c r="E3" i="4"/>
  <c r="D3" i="6"/>
  <c r="E3" i="6"/>
  <c r="G4" i="3"/>
  <c r="D4" i="5"/>
  <c r="I7" i="3" l="1"/>
  <c r="J6" i="3"/>
  <c r="J7" i="3" s="1"/>
  <c r="G7" i="7"/>
  <c r="G8" i="7"/>
  <c r="D7" i="6"/>
  <c r="D11" i="6"/>
  <c r="C20" i="4"/>
  <c r="C21" i="4" s="1"/>
  <c r="C10" i="4"/>
  <c r="F6" i="9"/>
  <c r="F7" i="4"/>
  <c r="F14" i="4"/>
  <c r="F7" i="6"/>
  <c r="F11" i="6"/>
  <c r="H12" i="3"/>
  <c r="H4" i="3"/>
  <c r="I3" i="3"/>
  <c r="E7" i="6"/>
  <c r="E11" i="6"/>
  <c r="E7" i="4"/>
  <c r="E14" i="4"/>
  <c r="D14" i="4"/>
  <c r="D9" i="4"/>
  <c r="D7" i="4"/>
  <c r="G4" i="5"/>
  <c r="G13" i="5" s="1"/>
  <c r="G3" i="4"/>
  <c r="G3" i="6"/>
  <c r="G4" i="8"/>
  <c r="G13" i="3"/>
  <c r="C5" i="8"/>
  <c r="C6" i="8" s="1"/>
  <c r="C5" i="5"/>
  <c r="I9" i="3"/>
  <c r="H10" i="3"/>
  <c r="F9" i="7"/>
  <c r="F14" i="8"/>
  <c r="G6" i="9" l="1"/>
  <c r="E17" i="4"/>
  <c r="E8" i="8"/>
  <c r="E11" i="8" s="1"/>
  <c r="H4" i="5"/>
  <c r="H13" i="5" s="1"/>
  <c r="H3" i="6"/>
  <c r="H3" i="4"/>
  <c r="H4" i="8"/>
  <c r="H13" i="3"/>
  <c r="D17" i="4"/>
  <c r="D20" i="4" s="1"/>
  <c r="D21" i="4" s="1"/>
  <c r="D8" i="8"/>
  <c r="D11" i="8" s="1"/>
  <c r="G7" i="6"/>
  <c r="G11" i="6"/>
  <c r="F17" i="4"/>
  <c r="F8" i="8"/>
  <c r="F11" i="8" s="1"/>
  <c r="G7" i="4"/>
  <c r="G14" i="4"/>
  <c r="D16" i="6"/>
  <c r="D21" i="8"/>
  <c r="D6" i="10" s="1"/>
  <c r="F5" i="8"/>
  <c r="F6" i="8" s="1"/>
  <c r="F5" i="5"/>
  <c r="E5" i="8"/>
  <c r="E6" i="8" s="1"/>
  <c r="E5" i="5"/>
  <c r="E9" i="4"/>
  <c r="D15" i="6"/>
  <c r="D13" i="10"/>
  <c r="D15" i="10" s="1"/>
  <c r="F15" i="6"/>
  <c r="F13" i="10"/>
  <c r="F15" i="10" s="1"/>
  <c r="F16" i="6"/>
  <c r="F21" i="8"/>
  <c r="F6" i="10" s="1"/>
  <c r="D5" i="8"/>
  <c r="D6" i="8" s="1"/>
  <c r="D5" i="5"/>
  <c r="E15" i="6"/>
  <c r="E13" i="10"/>
  <c r="E15" i="10" s="1"/>
  <c r="G21" i="9"/>
  <c r="H4" i="7"/>
  <c r="F9" i="4"/>
  <c r="I12" i="3"/>
  <c r="I4" i="3"/>
  <c r="J3" i="3"/>
  <c r="D10" i="4"/>
  <c r="J9" i="3"/>
  <c r="J10" i="3" s="1"/>
  <c r="I10" i="3"/>
  <c r="E16" i="6"/>
  <c r="E21" i="8"/>
  <c r="E6" i="10" s="1"/>
  <c r="C7" i="8"/>
  <c r="C12" i="8"/>
  <c r="G9" i="7"/>
  <c r="G14" i="8"/>
  <c r="G16" i="6" l="1"/>
  <c r="G21" i="8"/>
  <c r="G6" i="10" s="1"/>
  <c r="F20" i="4"/>
  <c r="F21" i="4" s="1"/>
  <c r="F10" i="4"/>
  <c r="F15" i="5"/>
  <c r="F17" i="9" s="1"/>
  <c r="F20" i="9" s="1"/>
  <c r="F23" i="9" s="1"/>
  <c r="F14" i="5"/>
  <c r="H7" i="6"/>
  <c r="H11" i="6"/>
  <c r="F7" i="8"/>
  <c r="F12" i="8"/>
  <c r="H6" i="9"/>
  <c r="E20" i="4"/>
  <c r="E21" i="4" s="1"/>
  <c r="E10" i="4"/>
  <c r="G13" i="10"/>
  <c r="G15" i="10" s="1"/>
  <c r="G15" i="6"/>
  <c r="H7" i="4"/>
  <c r="H14" i="4"/>
  <c r="G17" i="4"/>
  <c r="G8" i="8"/>
  <c r="G11" i="8" s="1"/>
  <c r="E7" i="8"/>
  <c r="E12" i="8"/>
  <c r="F17" i="6"/>
  <c r="J12" i="3"/>
  <c r="J4" i="3"/>
  <c r="I3" i="6"/>
  <c r="I3" i="4"/>
  <c r="I4" i="5"/>
  <c r="I13" i="5" s="1"/>
  <c r="I4" i="8"/>
  <c r="I13" i="3"/>
  <c r="H7" i="7"/>
  <c r="H8" i="7"/>
  <c r="C16" i="8"/>
  <c r="C13" i="8"/>
  <c r="C22" i="8"/>
  <c r="C23" i="8" s="1"/>
  <c r="G5" i="8"/>
  <c r="G6" i="8" s="1"/>
  <c r="G5" i="5"/>
  <c r="D7" i="8"/>
  <c r="D12" i="8"/>
  <c r="G9" i="4"/>
  <c r="I7" i="6" l="1"/>
  <c r="I11" i="6"/>
  <c r="F7" i="9"/>
  <c r="F16" i="5"/>
  <c r="F17" i="5" s="1"/>
  <c r="F8" i="10" s="1"/>
  <c r="I7" i="4"/>
  <c r="I14" i="4"/>
  <c r="G20" i="4"/>
  <c r="G21" i="4" s="1"/>
  <c r="G10" i="4"/>
  <c r="H16" i="6"/>
  <c r="H21" i="8"/>
  <c r="H6" i="10" s="1"/>
  <c r="D16" i="8"/>
  <c r="D13" i="8"/>
  <c r="D22" i="8"/>
  <c r="D23" i="8" s="1"/>
  <c r="E22" i="8"/>
  <c r="E23" i="8" s="1"/>
  <c r="E13" i="8"/>
  <c r="E16" i="8"/>
  <c r="C18" i="8"/>
  <c r="C19" i="8"/>
  <c r="I6" i="9"/>
  <c r="J3" i="6"/>
  <c r="J3" i="4"/>
  <c r="J4" i="8"/>
  <c r="J13" i="3"/>
  <c r="J4" i="5"/>
  <c r="J13" i="5" s="1"/>
  <c r="H13" i="10"/>
  <c r="H15" i="10" s="1"/>
  <c r="H15" i="6"/>
  <c r="G7" i="8"/>
  <c r="G12" i="8"/>
  <c r="F22" i="8"/>
  <c r="F23" i="8" s="1"/>
  <c r="F13" i="8"/>
  <c r="F16" i="8"/>
  <c r="F10" i="9"/>
  <c r="G14" i="6"/>
  <c r="G17" i="6" s="1"/>
  <c r="G15" i="5"/>
  <c r="G17" i="9" s="1"/>
  <c r="G20" i="9" s="1"/>
  <c r="G23" i="9" s="1"/>
  <c r="G14" i="5"/>
  <c r="H17" i="4"/>
  <c r="H8" i="8"/>
  <c r="H11" i="8" s="1"/>
  <c r="H5" i="8"/>
  <c r="H6" i="8" s="1"/>
  <c r="H5" i="5"/>
  <c r="H9" i="7"/>
  <c r="H14" i="8"/>
  <c r="H9" i="4"/>
  <c r="H21" i="9"/>
  <c r="I4" i="7"/>
  <c r="I7" i="7" l="1"/>
  <c r="I8" i="7"/>
  <c r="J6" i="9"/>
  <c r="H7" i="8"/>
  <c r="H12" i="8"/>
  <c r="I17" i="4"/>
  <c r="I8" i="8"/>
  <c r="I11" i="8" s="1"/>
  <c r="I5" i="8"/>
  <c r="I6" i="8" s="1"/>
  <c r="I5" i="5"/>
  <c r="H14" i="5"/>
  <c r="H15" i="5"/>
  <c r="H17" i="9" s="1"/>
  <c r="H20" i="9" s="1"/>
  <c r="H23" i="9" s="1"/>
  <c r="J7" i="4"/>
  <c r="J14" i="4"/>
  <c r="J9" i="4"/>
  <c r="G22" i="8"/>
  <c r="G23" i="8" s="1"/>
  <c r="G13" i="8"/>
  <c r="G16" i="8"/>
  <c r="G7" i="9"/>
  <c r="G16" i="5"/>
  <c r="G17" i="5" s="1"/>
  <c r="G8" i="10" s="1"/>
  <c r="H20" i="4"/>
  <c r="H21" i="4" s="1"/>
  <c r="H10" i="4"/>
  <c r="E18" i="8"/>
  <c r="E19" i="8"/>
  <c r="I16" i="6"/>
  <c r="I21" i="8"/>
  <c r="I6" i="10" s="1"/>
  <c r="D18" i="8"/>
  <c r="D19" i="8"/>
  <c r="J7" i="6"/>
  <c r="J11" i="6"/>
  <c r="I9" i="4"/>
  <c r="H14" i="6"/>
  <c r="H17" i="6" s="1"/>
  <c r="G10" i="9"/>
  <c r="C5" i="10"/>
  <c r="C10" i="10" s="1"/>
  <c r="C26" i="10" s="1"/>
  <c r="C28" i="10" s="1"/>
  <c r="C24" i="8"/>
  <c r="C20" i="8"/>
  <c r="F17" i="8"/>
  <c r="F18" i="8" s="1"/>
  <c r="I13" i="10"/>
  <c r="I15" i="10" s="1"/>
  <c r="I15" i="6"/>
  <c r="J10" i="4" l="1"/>
  <c r="J21" i="8"/>
  <c r="J6" i="10" s="1"/>
  <c r="J16" i="6"/>
  <c r="J5" i="5"/>
  <c r="J5" i="8"/>
  <c r="J6" i="8" s="1"/>
  <c r="J13" i="10"/>
  <c r="J15" i="10" s="1"/>
  <c r="J15" i="6"/>
  <c r="D24" i="8"/>
  <c r="D20" i="8"/>
  <c r="D5" i="10"/>
  <c r="D10" i="10" s="1"/>
  <c r="D26" i="10" s="1"/>
  <c r="D28" i="10" s="1"/>
  <c r="J17" i="4"/>
  <c r="J20" i="4" s="1"/>
  <c r="J21" i="4" s="1"/>
  <c r="J8" i="8"/>
  <c r="J11" i="8" s="1"/>
  <c r="H7" i="9"/>
  <c r="H16" i="5"/>
  <c r="H17" i="5" s="1"/>
  <c r="H8" i="10" s="1"/>
  <c r="H13" i="8"/>
  <c r="H16" i="8"/>
  <c r="H22" i="8"/>
  <c r="H23" i="8" s="1"/>
  <c r="I7" i="8"/>
  <c r="I12" i="8"/>
  <c r="E24" i="8"/>
  <c r="E20" i="8"/>
  <c r="E5" i="10"/>
  <c r="E10" i="10" s="1"/>
  <c r="E26" i="10" s="1"/>
  <c r="E28" i="10" s="1"/>
  <c r="F27" i="10" s="1"/>
  <c r="G17" i="8"/>
  <c r="G18" i="8" s="1"/>
  <c r="F19" i="8"/>
  <c r="I9" i="7"/>
  <c r="I14" i="8"/>
  <c r="I14" i="5"/>
  <c r="I15" i="5"/>
  <c r="I17" i="9" s="1"/>
  <c r="I20" i="9" s="1"/>
  <c r="I23" i="9" s="1"/>
  <c r="I14" i="6"/>
  <c r="I17" i="6" s="1"/>
  <c r="H10" i="9"/>
  <c r="I10" i="4"/>
  <c r="I20" i="4"/>
  <c r="I21" i="4" s="1"/>
  <c r="I21" i="9"/>
  <c r="J4" i="7"/>
  <c r="J14" i="6" l="1"/>
  <c r="J17" i="6" s="1"/>
  <c r="J10" i="9" s="1"/>
  <c r="I10" i="9"/>
  <c r="I7" i="9"/>
  <c r="I16" i="5"/>
  <c r="I17" i="5" s="1"/>
  <c r="I8" i="10" s="1"/>
  <c r="G19" i="8"/>
  <c r="J14" i="5"/>
  <c r="J15" i="5"/>
  <c r="J17" i="9" s="1"/>
  <c r="J20" i="9" s="1"/>
  <c r="J12" i="8"/>
  <c r="J7" i="8"/>
  <c r="F24" i="8"/>
  <c r="F20" i="8"/>
  <c r="F27" i="9"/>
  <c r="F10" i="10"/>
  <c r="F26" i="10" s="1"/>
  <c r="F28" i="10" s="1"/>
  <c r="J7" i="7"/>
  <c r="J21" i="9" s="1"/>
  <c r="I13" i="8"/>
  <c r="I22" i="8"/>
  <c r="I23" i="8" s="1"/>
  <c r="I16" i="8"/>
  <c r="H17" i="8"/>
  <c r="H18" i="8" s="1"/>
  <c r="G27" i="10" l="1"/>
  <c r="F5" i="9"/>
  <c r="F9" i="9" s="1"/>
  <c r="F14" i="9" s="1"/>
  <c r="J22" i="8"/>
  <c r="J23" i="8" s="1"/>
  <c r="J13" i="8"/>
  <c r="G27" i="9"/>
  <c r="J7" i="9"/>
  <c r="J16" i="5"/>
  <c r="J17" i="5" s="1"/>
  <c r="J8" i="10" s="1"/>
  <c r="H19" i="8"/>
  <c r="G24" i="8"/>
  <c r="G20" i="8"/>
  <c r="G5" i="10"/>
  <c r="G10" i="10" s="1"/>
  <c r="G26" i="10" s="1"/>
  <c r="I17" i="8"/>
  <c r="I18" i="8" s="1"/>
  <c r="I19" i="8"/>
  <c r="J8" i="7"/>
  <c r="J23" i="9"/>
  <c r="I5" i="10" l="1"/>
  <c r="I10" i="10" s="1"/>
  <c r="I26" i="10" s="1"/>
  <c r="I24" i="8"/>
  <c r="I20" i="8"/>
  <c r="J9" i="7"/>
  <c r="J14" i="8"/>
  <c r="J16" i="8" s="1"/>
  <c r="H27" i="9"/>
  <c r="F28" i="9"/>
  <c r="F29" i="9" s="1"/>
  <c r="F30" i="9" s="1"/>
  <c r="F31" i="9" s="1"/>
  <c r="H5" i="10"/>
  <c r="H10" i="10" s="1"/>
  <c r="H26" i="10" s="1"/>
  <c r="H24" i="8"/>
  <c r="H20" i="8"/>
  <c r="G28" i="10"/>
  <c r="H27" i="10" l="1"/>
  <c r="H28" i="10" s="1"/>
  <c r="G5" i="9"/>
  <c r="G9" i="9" s="1"/>
  <c r="G14" i="9" s="1"/>
  <c r="I27" i="9"/>
  <c r="J17" i="8"/>
  <c r="J18" i="8" s="1"/>
  <c r="J19" i="8" l="1"/>
  <c r="J27" i="9"/>
  <c r="G28" i="9"/>
  <c r="G29" i="9" s="1"/>
  <c r="G30" i="9" s="1"/>
  <c r="G31" i="9" s="1"/>
  <c r="I27" i="10"/>
  <c r="I28" i="10" s="1"/>
  <c r="H5" i="9"/>
  <c r="H9" i="9" s="1"/>
  <c r="H14" i="9" s="1"/>
  <c r="J27" i="10" l="1"/>
  <c r="I5" i="9"/>
  <c r="I9" i="9" s="1"/>
  <c r="I14" i="9" s="1"/>
  <c r="H28" i="9"/>
  <c r="H29" i="9" s="1"/>
  <c r="H30" i="9" s="1"/>
  <c r="H31" i="9" s="1"/>
  <c r="J5" i="10"/>
  <c r="J10" i="10" s="1"/>
  <c r="J26" i="10" s="1"/>
  <c r="J20" i="8"/>
  <c r="J24" i="8"/>
  <c r="I28" i="9" l="1"/>
  <c r="I29" i="9" s="1"/>
  <c r="I30" i="9" s="1"/>
  <c r="I31" i="9" s="1"/>
  <c r="J28" i="10"/>
  <c r="J5" i="9" s="1"/>
  <c r="J9" i="9" s="1"/>
  <c r="J14" i="9" s="1"/>
  <c r="J28" i="9" l="1"/>
  <c r="J29" i="9" s="1"/>
  <c r="J30" i="9" s="1"/>
  <c r="J31" i="9" s="1"/>
</calcChain>
</file>

<file path=xl/sharedStrings.xml><?xml version="1.0" encoding="utf-8"?>
<sst xmlns="http://schemas.openxmlformats.org/spreadsheetml/2006/main" count="346" uniqueCount="234">
  <si>
    <t>DEBT SCHEDULE</t>
  </si>
  <si>
    <t>FY2023</t>
  </si>
  <si>
    <t>FY2024</t>
  </si>
  <si>
    <t>FY2025</t>
  </si>
  <si>
    <t>FY2026E</t>
  </si>
  <si>
    <t>FY2027E</t>
  </si>
  <si>
    <t>FY2028E</t>
  </si>
  <si>
    <t>FY2029E</t>
  </si>
  <si>
    <t>FY2030E</t>
  </si>
  <si>
    <t>TOTAL DEBT (Current + Long-Term)</t>
  </si>
  <si>
    <t>Debt — Beginning of Period</t>
  </si>
  <si>
    <t>N/A</t>
  </si>
  <si>
    <t xml:space="preserve">  + New Debt Issuance ($mm)</t>
  </si>
  <si>
    <t xml:space="preserve">  - Debt Repayment ($mm)</t>
  </si>
  <si>
    <t>Debt — End of Period ($mm)</t>
  </si>
  <si>
    <t>Interest Expense ($mm)</t>
  </si>
  <si>
    <t xml:space="preserve">  Implied Interest Rate</t>
  </si>
  <si>
    <t>THE KRAFT HEINZ COMPANY (KHC)</t>
  </si>
  <si>
    <t xml:space="preserve">Financial Modeling </t>
  </si>
  <si>
    <t>FY2023A – FY2030E</t>
  </si>
  <si>
    <t>Data Source</t>
  </si>
  <si>
    <t xml:space="preserve">10-K 2/12/2026 </t>
  </si>
  <si>
    <t>Ticker</t>
  </si>
  <si>
    <t>NASDAQ: KHC</t>
  </si>
  <si>
    <t>Currency</t>
  </si>
  <si>
    <t>USD (millions), unless otherwise stated</t>
  </si>
  <si>
    <t>Made by</t>
  </si>
  <si>
    <t>Gonzalo Dalmasso Müller</t>
  </si>
  <si>
    <t>COLOR CODING</t>
  </si>
  <si>
    <t>Blue text</t>
  </si>
  <si>
    <t>Hardcoded inputs / assumptions</t>
  </si>
  <si>
    <t>Black text</t>
  </si>
  <si>
    <t>Formulas / calculations</t>
  </si>
  <si>
    <t>Green text</t>
  </si>
  <si>
    <t>Cross-sheet links</t>
  </si>
  <si>
    <t>MODEL STRUCTURE</t>
  </si>
  <si>
    <t>INPUTS</t>
  </si>
  <si>
    <t>Historical financials from 10-K + projection assumptions</t>
  </si>
  <si>
    <t>REVENUE</t>
  </si>
  <si>
    <t>Revenue buildup by segment — growth rate driver</t>
  </si>
  <si>
    <t>COGS_OPEX</t>
  </si>
  <si>
    <t>COGS (% of sales) and OpEx (growth driver) buildups</t>
  </si>
  <si>
    <t>NWC</t>
  </si>
  <si>
    <t>Net Working Capital — DSO, DIO, DPO methodology</t>
  </si>
  <si>
    <t>CAPEX_DA</t>
  </si>
  <si>
    <t>Capital expenditures and D&amp;A — % of sales</t>
  </si>
  <si>
    <t>DEBT</t>
  </si>
  <si>
    <t>Debt schedule — opening balance, draws, repayments, interest</t>
  </si>
  <si>
    <t>PL</t>
  </si>
  <si>
    <t>Projected Income Statement (P&amp;L)</t>
  </si>
  <si>
    <t>BS</t>
  </si>
  <si>
    <t>Projected Balance Sheet</t>
  </si>
  <si>
    <t>CF</t>
  </si>
  <si>
    <t>Projected Cash Flow Statement</t>
  </si>
  <si>
    <t>INPUTS — Historical Data (10-K FY2025) &amp; Projection Assumptions</t>
  </si>
  <si>
    <t xml:space="preserve">A. INCOME STATEMENT </t>
  </si>
  <si>
    <t>Net Sales</t>
  </si>
  <si>
    <t xml:space="preserve">  Cost of Products Sold</t>
  </si>
  <si>
    <t>Gross Profit</t>
  </si>
  <si>
    <t xml:space="preserve">  SG&amp;A (excl. impairment losses)</t>
  </si>
  <si>
    <t xml:space="preserve">  D&amp;A (within SG&amp;A/COGS)</t>
  </si>
  <si>
    <t xml:space="preserve">  Goodwill Impairment</t>
  </si>
  <si>
    <t xml:space="preserve">  Intangible Impairment</t>
  </si>
  <si>
    <t>Operating Income/(Loss) - EBIT</t>
  </si>
  <si>
    <t xml:space="preserve">  Interest Expense</t>
  </si>
  <si>
    <t xml:space="preserve">  Other Expense/(Income)</t>
  </si>
  <si>
    <t>Income/(Loss) Before Tax - EBT</t>
  </si>
  <si>
    <t xml:space="preserve">  Tax Provision/(Benefit)</t>
  </si>
  <si>
    <t>Net Income/(Loss)</t>
  </si>
  <si>
    <t>B. BALANCE SHEET — Historical</t>
  </si>
  <si>
    <t>ASSETS</t>
  </si>
  <si>
    <t>Cash &amp; Cash Equivalents</t>
  </si>
  <si>
    <t>Trade Receivables (net)</t>
  </si>
  <si>
    <t>Inventories</t>
  </si>
  <si>
    <t>Other Current Assets</t>
  </si>
  <si>
    <t>Total Current Assets</t>
  </si>
  <si>
    <t>PP&amp;E, net</t>
  </si>
  <si>
    <t>Goodwill</t>
  </si>
  <si>
    <t>Intangible Assets, net</t>
  </si>
  <si>
    <t>Other Non-Current Assets</t>
  </si>
  <si>
    <t>TOTAL ASSETS</t>
  </si>
  <si>
    <t>LIABILITIES AND EQUITY</t>
  </si>
  <si>
    <t>Accounts Payable</t>
  </si>
  <si>
    <t>Current Portion LT Debt</t>
  </si>
  <si>
    <t>Other Current Liabilities</t>
  </si>
  <si>
    <t>Total Current Liabilities</t>
  </si>
  <si>
    <t>Long-Term Debt</t>
  </si>
  <si>
    <t>Other Non-Current Liabilities</t>
  </si>
  <si>
    <t>TOTAL LIABILITIES</t>
  </si>
  <si>
    <t>Total Equity</t>
  </si>
  <si>
    <t>TOTAL LIABILITIES &amp; EQUITY</t>
  </si>
  <si>
    <t xml:space="preserve">C. CASH FLOW — Historical </t>
  </si>
  <si>
    <t>D&amp;A</t>
  </si>
  <si>
    <t>Goodwill &amp; Intangible Impairment</t>
  </si>
  <si>
    <t>Other Non-Cash Items</t>
  </si>
  <si>
    <t>Changes in Working Capital</t>
  </si>
  <si>
    <t>Operating Cash Flow</t>
  </si>
  <si>
    <t>Capital Expenditures</t>
  </si>
  <si>
    <t>Other Investing Activities</t>
  </si>
  <si>
    <t>Investing Cash Flow</t>
  </si>
  <si>
    <t>Net Debt Issuance/(Repayment)</t>
  </si>
  <si>
    <t>Dividends Paid</t>
  </si>
  <si>
    <t>Share Repurchases</t>
  </si>
  <si>
    <t>Other Financing Activities</t>
  </si>
  <si>
    <t>Financing Cash Flow</t>
  </si>
  <si>
    <t>FX Effect on Cash</t>
  </si>
  <si>
    <t>Net Change in Cash</t>
  </si>
  <si>
    <t xml:space="preserve">D. PROJECTION ASSUMPTIONS </t>
  </si>
  <si>
    <t>REVENUE GROWTH RATES (by segment)</t>
  </si>
  <si>
    <t xml:space="preserve">  North America Growth %</t>
  </si>
  <si>
    <t xml:space="preserve">  Internacional Developed Markets Growth %</t>
  </si>
  <si>
    <t xml:space="preserve">  Emerging Markets Growth %</t>
  </si>
  <si>
    <t>MARGINS &amp; COSTS</t>
  </si>
  <si>
    <t xml:space="preserve">  COGS as % of Net Sales</t>
  </si>
  <si>
    <t xml:space="preserve">  SG&amp;A (excl. imp.) as % of Sales</t>
  </si>
  <si>
    <t xml:space="preserve">  Tax Rate (normalized)</t>
  </si>
  <si>
    <t>WORKING CAPITAL (days)</t>
  </si>
  <si>
    <t xml:space="preserve">  DSO (Days Sales Outstanding)</t>
  </si>
  <si>
    <t xml:space="preserve">  DIO (Days Inventory Outstanding)</t>
  </si>
  <si>
    <t xml:space="preserve">  DPO (Days Payable Outstanding)</t>
  </si>
  <si>
    <t>CAPEX &amp; D&amp;A (% of Net Sales)</t>
  </si>
  <si>
    <t xml:space="preserve">  CapEx as % of Net Sales</t>
  </si>
  <si>
    <t xml:space="preserve">  D&amp;A as % of Net Sales</t>
  </si>
  <si>
    <t xml:space="preserve">  Interest Rate on Debt</t>
  </si>
  <si>
    <t xml:space="preserve">  Annual Debt Repayment ($mm)</t>
  </si>
  <si>
    <t>OTHER</t>
  </si>
  <si>
    <t xml:space="preserve">  Dividends per Share ($)</t>
  </si>
  <si>
    <t xml:space="preserve">  Shares Outstanding (mm)</t>
  </si>
  <si>
    <t xml:space="preserve">  Other Expense/(Income) ($mm)</t>
  </si>
  <si>
    <t>REVENUE BUILDUP — By Segment</t>
  </si>
  <si>
    <t>Driver</t>
  </si>
  <si>
    <t>North America</t>
  </si>
  <si>
    <t>YoY Growth</t>
  </si>
  <si>
    <t xml:space="preserve">  YoY Growth %</t>
  </si>
  <si>
    <t>International Dev. Mkts</t>
  </si>
  <si>
    <t>Emerging Markets</t>
  </si>
  <si>
    <t>TOTAL NET SALES</t>
  </si>
  <si>
    <t>Sum of segments</t>
  </si>
  <si>
    <t xml:space="preserve">  Total Revenue YoY Growth %</t>
  </si>
  <si>
    <t>COGS &amp; OPEX BUILDUP</t>
  </si>
  <si>
    <t>Net Sales ($mm)</t>
  </si>
  <si>
    <t>A. COST OF GOODS SOLD</t>
  </si>
  <si>
    <t>Assumption</t>
  </si>
  <si>
    <t>Cost of Products Sold ($mm)</t>
  </si>
  <si>
    <t>Sales × COGS%</t>
  </si>
  <si>
    <t>Gross Profit ($mm)</t>
  </si>
  <si>
    <t xml:space="preserve">  Gross Margin %</t>
  </si>
  <si>
    <t>B. OPERATING EXPENSES (excl. impairment)</t>
  </si>
  <si>
    <t xml:space="preserve">  SG&amp;A as % of Net Sales</t>
  </si>
  <si>
    <t>SG&amp;A Expenses ($mm)</t>
  </si>
  <si>
    <t xml:space="preserve">  Goodwill Impairment ($mm)</t>
  </si>
  <si>
    <t xml:space="preserve">  Intangible Impairment ($mm)</t>
  </si>
  <si>
    <t>Total SG&amp;A (incl. impairment) ($mm)</t>
  </si>
  <si>
    <t>C. EBITDA SUMMARY</t>
  </si>
  <si>
    <t>Operating Income/(Loss) ($mm)</t>
  </si>
  <si>
    <t xml:space="preserve">  Operating Margin %</t>
  </si>
  <si>
    <t>NET WORKING CAPITAL (NWC) — DSO / DIO / DPO Methodology</t>
  </si>
  <si>
    <t>DSO = AR/Sales×365  |  DIO = Inventory/COGS×365  |  DPO = AP/COGS×365  |  NWC = AR + Inventory - AP</t>
  </si>
  <si>
    <t>← REVENUE</t>
  </si>
  <si>
    <t>COGS ($mm)</t>
  </si>
  <si>
    <t>← COGS_OPEX</t>
  </si>
  <si>
    <t>DAYS ASSUMPTIONS</t>
  </si>
  <si>
    <t xml:space="preserve">  DSO (days)</t>
  </si>
  <si>
    <t>Calculated / Assumed</t>
  </si>
  <si>
    <t xml:space="preserve">  DIO (days)</t>
  </si>
  <si>
    <t xml:space="preserve">  DPO (days)</t>
  </si>
  <si>
    <t>BALANCE SHEET ITEMS ($mm)</t>
  </si>
  <si>
    <t>Accounts Receivable</t>
  </si>
  <si>
    <t>DSO/365 × Sales</t>
  </si>
  <si>
    <t>DIO/365 × COGS</t>
  </si>
  <si>
    <t>DPO/365 × COGS</t>
  </si>
  <si>
    <t>NET WORKING CAPITAL (AR + Inv - AP)</t>
  </si>
  <si>
    <t xml:space="preserve">  Change in NWC (increase = cash use)</t>
  </si>
  <si>
    <t>CAPEX &amp; DEPRECIATION — % of Net Sales</t>
  </si>
  <si>
    <t>A. CAPITAL EXPENDITURES</t>
  </si>
  <si>
    <t>Capital Expenditures ($mm)</t>
  </si>
  <si>
    <t>B. DEPRECIATION &amp; AMORTIZATION</t>
  </si>
  <si>
    <t>Depreciation &amp; Amortization ($mm)</t>
  </si>
  <si>
    <t>C. PP&amp;E ROLL-FORWARD</t>
  </si>
  <si>
    <t>PP&amp;E, net — Beginning of Period</t>
  </si>
  <si>
    <t xml:space="preserve">  + Capital Expenditures</t>
  </si>
  <si>
    <t xml:space="preserve">  - Depreciation &amp; Amortization</t>
  </si>
  <si>
    <t>PP&amp;E, net — End of Period</t>
  </si>
  <si>
    <t>THE KRAFT HEINZ COMPANY — PROJECTED INCOME STATEMENT (P&amp;L)</t>
  </si>
  <si>
    <t>NET SALES</t>
  </si>
  <si>
    <t>Cost of Products Sold</t>
  </si>
  <si>
    <t>GROSS PROFIT</t>
  </si>
  <si>
    <t>SG&amp;A (excl. impairment)</t>
  </si>
  <si>
    <t>Total SG&amp;A (incl. impairment)</t>
  </si>
  <si>
    <t>OPERATING INCOME/(LOSS)</t>
  </si>
  <si>
    <t>Interest Expense</t>
  </si>
  <si>
    <t>Other Expense/(Income)</t>
  </si>
  <si>
    <t>INCOME/(LOSS) BEFORE TAX</t>
  </si>
  <si>
    <t>Tax Provision/(Benefit)</t>
  </si>
  <si>
    <t xml:space="preserve">  Effective Tax Rate %</t>
  </si>
  <si>
    <t>NET INCOME/(LOSS)</t>
  </si>
  <si>
    <t xml:space="preserve">  Net Margin %</t>
  </si>
  <si>
    <t>D&amp;A (memo)</t>
  </si>
  <si>
    <t>EBITDA (memo)</t>
  </si>
  <si>
    <t xml:space="preserve">  EBITDA Margin %</t>
  </si>
  <si>
    <t>EPS (Basic)</t>
  </si>
  <si>
    <t>THE KRAFT HEINZ COMPANY — PROJECTED BALANCE SHEET</t>
  </si>
  <si>
    <t xml:space="preserve">  ASSETS</t>
  </si>
  <si>
    <t>TOTAL CURRENT ASSETS</t>
  </si>
  <si>
    <t xml:space="preserve">  LIABILITIES</t>
  </si>
  <si>
    <t>Current Portion of LT Debt</t>
  </si>
  <si>
    <t>TOTAL CURRENT LIABILITIES</t>
  </si>
  <si>
    <t xml:space="preserve">  EQUITY</t>
  </si>
  <si>
    <t>Common Stock + APIC</t>
  </si>
  <si>
    <t>Retained Earnings/(Deficit)</t>
  </si>
  <si>
    <t>Other Equity Components</t>
  </si>
  <si>
    <t>TOTAL EQUITY</t>
  </si>
  <si>
    <t xml:space="preserve">  Balance Check (Assets - L&amp;E = 0)</t>
  </si>
  <si>
    <t>THE KRAFT HEINZ COMPANY — PROJECTED CASH FLOW STATEMENT</t>
  </si>
  <si>
    <t xml:space="preserve">  OPERATING ACTIVITIES</t>
  </si>
  <si>
    <t xml:space="preserve">  + D&amp;A</t>
  </si>
  <si>
    <t xml:space="preserve">  + Impairment Losses</t>
  </si>
  <si>
    <t xml:space="preserve">  + Change in Working Capital</t>
  </si>
  <si>
    <t xml:space="preserve">  + Other Operating Items</t>
  </si>
  <si>
    <t>OPERATING CASH FLOW</t>
  </si>
  <si>
    <t xml:space="preserve">  INVESTING ACTIVITIES</t>
  </si>
  <si>
    <t xml:space="preserve">  Capital Expenditures</t>
  </si>
  <si>
    <t xml:space="preserve">  Other Investing Activities</t>
  </si>
  <si>
    <t>INVESTING CASH FLOW</t>
  </si>
  <si>
    <t xml:space="preserve">  FINANCING ACTIVITIES</t>
  </si>
  <si>
    <t xml:space="preserve">  Debt Repayment</t>
  </si>
  <si>
    <t xml:space="preserve">  New Debt Issuance</t>
  </si>
  <si>
    <t xml:space="preserve">  Dividends Paid</t>
  </si>
  <si>
    <t xml:space="preserve">  Share Repurchases</t>
  </si>
  <si>
    <t xml:space="preserve">  Other Financing</t>
  </si>
  <si>
    <t>FINANCING CASH FLOW</t>
  </si>
  <si>
    <t>NET CHANGE IN CASH</t>
  </si>
  <si>
    <t xml:space="preserve">  Beginning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</si>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</sst>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0.0%;\(0.0%\);\-"/>
    <numFmt numFmtId="166" formatCode="0.0;\(0.0\);\-"/>
    <numFmt numFmtId="167" formatCode="0.0%"/>
    <numFmt numFmtId="168" formatCode="\$0.00;&quot;($&quot;0.00\);\-"/>
    <numFmt numFmtId="169" formatCode="#,##0;\(#,##0\);&quot;-&quot;"/>
  </numFmts>
  <fonts count="30" x14ac:knownFonts="1">
    <font>
      <sz val="11"/>
      <color theme="1"/>
      <name val="Aptos Narrow"/>
      <family val="2"/>
      <charset val="1"/>
    </font>
    <font>
      <sz val="11"/>
      <color theme="1"/>
      <name val="Calibri"/>
      <family val="2"/>
      <charset val="1"/>
    </font>
    <font>
      <b/>
      <sz val="18"/>
      <color rgb="FFFFFFFF"/>
      <name val="Arial"/>
      <family val="2"/>
      <charset val="1"/>
    </font>
    <font>
      <b/>
      <sz val="8"/>
      <name val="Arial"/>
      <family val="2"/>
      <charset val="1"/>
    </font>
    <font>
      <sz val="8"/>
      <name val="Arial"/>
      <family val="2"/>
      <charset val="1"/>
    </font>
    <font>
      <sz val="8"/>
      <color rgb="FF0000FF"/>
      <name val="Arial"/>
      <family val="2"/>
      <charset val="1"/>
    </font>
    <font>
      <sz val="8"/>
      <color rgb="FF000000"/>
      <name val="Arial"/>
      <family val="2"/>
      <charset val="1"/>
    </font>
    <font>
      <sz val="8"/>
      <color rgb="FF3C7D22"/>
      <name val="Arial"/>
      <family val="2"/>
      <charset val="1"/>
    </font>
    <font>
      <b/>
      <sz val="8"/>
      <color rgb="FF0000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8"/>
      <color rgb="FF000000"/>
      <name val="Arial"/>
      <family val="2"/>
      <charset val="1"/>
    </font>
    <font>
      <b/>
      <sz val="11"/>
      <color theme="1"/>
      <name val="Aptos Narrow"/>
      <family val="2"/>
      <charset val="1"/>
    </font>
    <font>
      <b/>
      <sz val="8"/>
      <color theme="1"/>
      <name val="Arial"/>
      <family val="2"/>
      <charset val="1"/>
    </font>
    <font>
      <sz val="11"/>
      <color theme="1"/>
      <name val="Arial"/>
      <family val="2"/>
      <charset val="1"/>
    </font>
    <font>
      <i/>
      <sz val="8"/>
      <color rgb="FF000000"/>
      <name val="Arial"/>
      <family val="2"/>
      <charset val="1"/>
    </font>
    <font>
      <sz val="8"/>
      <color theme="1"/>
      <name val="Arial"/>
      <family val="2"/>
      <charset val="1"/>
    </font>
    <font>
      <b/>
      <sz val="8"/>
      <color rgb="FF3C7D22"/>
      <name val="Arial"/>
      <family val="2"/>
      <charset val="1"/>
    </font>
    <font>
      <sz val="8"/>
      <color rgb="FF3C7D22"/>
      <name val="Arial"/>
      <family val="2"/>
    </font>
    <font>
      <b/>
      <sz val="8"/>
      <color rgb="FF000000"/>
      <name val="Arial"/>
      <family val="2"/>
    </font>
    <font>
      <b/>
      <sz val="10"/>
      <color rgb="FFFFFFFF"/>
      <name val="Arial"/>
      <family val="2"/>
    </font>
    <font>
      <i/>
      <sz val="8"/>
      <color rgb="FF888888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b/>
      <sz val="8"/>
      <color rgb="FF3C7D22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8"/>
      <color rgb="FF000000"/>
      <name val="Arial"/>
      <family val="2"/>
    </font>
    <font>
      <sz val="8"/>
      <color rgb="FF0000FF"/>
      <name val="Arial"/>
      <family val="2"/>
    </font>
    <font>
      <sz val="8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3" tint="9.9887081514938816E-2"/>
        <bgColor rgb="FF1F3864"/>
      </patternFill>
    </fill>
    <fill>
      <patternFill patternType="solid">
        <fgColor rgb="FFD6DCE4"/>
        <bgColor rgb="FFDCEAF7"/>
      </patternFill>
    </fill>
    <fill>
      <patternFill patternType="solid">
        <fgColor rgb="FF1F3864"/>
        <bgColor rgb="FF163E64"/>
      </patternFill>
    </fill>
    <fill>
      <patternFill patternType="solid">
        <fgColor rgb="FF2F5496"/>
        <bgColor rgb="FF163E64"/>
      </patternFill>
    </fill>
    <fill>
      <patternFill patternType="solid">
        <fgColor theme="3" tint="0.74987029633472702"/>
        <bgColor rgb="FFCCCCCC"/>
      </patternFill>
    </fill>
    <fill>
      <patternFill patternType="solid">
        <fgColor theme="3" tint="0.89989928891872917"/>
        <bgColor rgb="FFE2EFDA"/>
      </patternFill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rgb="FFE2EFDA"/>
      </patternFill>
    </fill>
    <fill>
      <patternFill patternType="solid">
        <fgColor rgb="FF375623"/>
        <bgColor rgb="FF3C7D22"/>
      </patternFill>
    </fill>
    <fill>
      <patternFill patternType="solid">
        <fgColor theme="6" tint="0.79989013336588644"/>
        <bgColor rgb="FFE2EFDA"/>
      </patternFill>
    </fill>
    <fill>
      <patternFill patternType="solid">
        <fgColor rgb="FFE2EFDA"/>
        <bgColor rgb="FFDCEAF7"/>
      </patternFill>
    </fill>
    <fill>
      <patternFill patternType="solid">
        <fgColor theme="0" tint="-4.9989318521683403E-2"/>
        <bgColor rgb="FFDCEAF7"/>
      </patternFill>
    </fill>
    <fill>
      <patternFill patternType="solid">
        <fgColor theme="6" tint="0.79998168889431442"/>
        <bgColor rgb="FFFFFF00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3" fillId="3" borderId="1" xfId="0" applyFont="1" applyFill="1" applyBorder="1"/>
    <xf numFmtId="0" fontId="0" fillId="3" borderId="1" xfId="0" applyFill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10" fillId="5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 indent="1"/>
    </xf>
    <xf numFmtId="164" fontId="5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indent="1"/>
    </xf>
    <xf numFmtId="164" fontId="11" fillId="7" borderId="1" xfId="0" applyNumberFormat="1" applyFont="1" applyFill="1" applyBorder="1" applyAlignment="1">
      <alignment horizontal="right" vertical="center"/>
    </xf>
    <xf numFmtId="164" fontId="11" fillId="8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left" indent="1"/>
    </xf>
    <xf numFmtId="164" fontId="5" fillId="9" borderId="1" xfId="0" applyNumberFormat="1" applyFont="1" applyFill="1" applyBorder="1" applyAlignment="1">
      <alignment horizontal="right" vertical="center"/>
    </xf>
    <xf numFmtId="0" fontId="12" fillId="0" borderId="1" xfId="0" applyFont="1" applyBorder="1"/>
    <xf numFmtId="0" fontId="13" fillId="8" borderId="1" xfId="0" applyFont="1" applyFill="1" applyBorder="1" applyAlignment="1">
      <alignment horizontal="left" indent="1"/>
    </xf>
    <xf numFmtId="0" fontId="10" fillId="8" borderId="1" xfId="0" applyFont="1" applyFill="1" applyBorder="1" applyAlignment="1">
      <alignment horizontal="left" indent="1"/>
    </xf>
    <xf numFmtId="0" fontId="0" fillId="8" borderId="1" xfId="0" applyFill="1" applyBorder="1"/>
    <xf numFmtId="0" fontId="3" fillId="8" borderId="1" xfId="0" applyFont="1" applyFill="1" applyBorder="1" applyAlignment="1">
      <alignment horizontal="left" indent="1"/>
    </xf>
    <xf numFmtId="0" fontId="10" fillId="10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left" indent="1"/>
    </xf>
    <xf numFmtId="165" fontId="5" fillId="11" borderId="1" xfId="0" applyNumberFormat="1" applyFont="1" applyFill="1" applyBorder="1" applyAlignment="1">
      <alignment horizontal="right" vertical="center"/>
    </xf>
    <xf numFmtId="164" fontId="5" fillId="11" borderId="1" xfId="0" applyNumberFormat="1" applyFont="1" applyFill="1" applyBorder="1" applyAlignment="1">
      <alignment horizontal="right" vertical="center"/>
    </xf>
    <xf numFmtId="166" fontId="5" fillId="11" borderId="1" xfId="0" applyNumberFormat="1" applyFont="1" applyFill="1" applyBorder="1" applyAlignment="1">
      <alignment horizontal="right" vertical="center"/>
    </xf>
    <xf numFmtId="0" fontId="14" fillId="0" borderId="1" xfId="0" applyFont="1" applyBorder="1"/>
    <xf numFmtId="1" fontId="14" fillId="0" borderId="1" xfId="0" applyNumberFormat="1" applyFont="1" applyBorder="1"/>
    <xf numFmtId="0" fontId="11" fillId="0" borderId="1" xfId="0" applyFont="1" applyBorder="1"/>
    <xf numFmtId="1" fontId="10" fillId="10" borderId="1" xfId="0" applyNumberFormat="1" applyFont="1" applyFill="1" applyBorder="1" applyAlignment="1">
      <alignment horizontal="center"/>
    </xf>
    <xf numFmtId="0" fontId="15" fillId="0" borderId="1" xfId="0" applyFont="1" applyBorder="1"/>
    <xf numFmtId="1" fontId="7" fillId="0" borderId="1" xfId="0" applyNumberFormat="1" applyFont="1" applyBorder="1"/>
    <xf numFmtId="0" fontId="16" fillId="0" borderId="1" xfId="0" applyFont="1" applyBorder="1"/>
    <xf numFmtId="0" fontId="15" fillId="0" borderId="1" xfId="0" applyFont="1" applyBorder="1" applyAlignment="1">
      <alignment horizontal="left" indent="2"/>
    </xf>
    <xf numFmtId="0" fontId="6" fillId="0" borderId="1" xfId="0" applyFont="1" applyBorder="1" applyAlignment="1">
      <alignment horizontal="center" vertical="center"/>
    </xf>
    <xf numFmtId="165" fontId="6" fillId="9" borderId="1" xfId="0" applyNumberFormat="1" applyFont="1" applyFill="1" applyBorder="1" applyAlignment="1">
      <alignment horizontal="right" vertical="center"/>
    </xf>
    <xf numFmtId="9" fontId="7" fillId="9" borderId="1" xfId="0" applyNumberFormat="1" applyFont="1" applyFill="1" applyBorder="1"/>
    <xf numFmtId="165" fontId="6" fillId="8" borderId="1" xfId="0" applyNumberFormat="1" applyFont="1" applyFill="1" applyBorder="1" applyAlignment="1">
      <alignment horizontal="right" vertical="center"/>
    </xf>
    <xf numFmtId="167" fontId="16" fillId="9" borderId="1" xfId="0" applyNumberFormat="1" applyFont="1" applyFill="1" applyBorder="1"/>
    <xf numFmtId="1" fontId="16" fillId="0" borderId="1" xfId="0" applyNumberFormat="1" applyFont="1" applyBorder="1"/>
    <xf numFmtId="0" fontId="1" fillId="0" borderId="1" xfId="0" applyFont="1" applyBorder="1"/>
    <xf numFmtId="0" fontId="11" fillId="0" borderId="1" xfId="0" applyFont="1" applyBorder="1" applyAlignment="1">
      <alignment horizontal="left" indent="1"/>
    </xf>
    <xf numFmtId="164" fontId="17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indent="2"/>
    </xf>
    <xf numFmtId="165" fontId="5" fillId="0" borderId="1" xfId="0" applyNumberFormat="1" applyFont="1" applyBorder="1" applyAlignment="1">
      <alignment horizontal="right" vertical="center"/>
    </xf>
    <xf numFmtId="165" fontId="7" fillId="11" borderId="1" xfId="0" applyNumberFormat="1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left" indent="1"/>
    </xf>
    <xf numFmtId="0" fontId="15" fillId="8" borderId="1" xfId="0" applyFont="1" applyFill="1" applyBorder="1"/>
    <xf numFmtId="0" fontId="1" fillId="8" borderId="1" xfId="0" applyFont="1" applyFill="1" applyBorder="1"/>
    <xf numFmtId="164" fontId="11" fillId="0" borderId="1" xfId="0" applyNumberFormat="1" applyFont="1" applyBorder="1" applyAlignment="1">
      <alignment horizontal="right" vertical="center"/>
    </xf>
    <xf numFmtId="164" fontId="18" fillId="0" borderId="1" xfId="0" applyNumberFormat="1" applyFont="1" applyBorder="1" applyAlignment="1">
      <alignment horizontal="right" vertical="center"/>
    </xf>
    <xf numFmtId="164" fontId="19" fillId="7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indent="1"/>
    </xf>
    <xf numFmtId="164" fontId="7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166" fontId="7" fillId="11" borderId="1" xfId="0" applyNumberFormat="1" applyFont="1" applyFill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164" fontId="11" fillId="9" borderId="1" xfId="0" applyNumberFormat="1" applyFont="1" applyFill="1" applyBorder="1" applyAlignment="1">
      <alignment horizontal="right" vertical="center"/>
    </xf>
    <xf numFmtId="164" fontId="6" fillId="9" borderId="1" xfId="0" applyNumberFormat="1" applyFont="1" applyFill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0" fontId="0" fillId="4" borderId="1" xfId="0" applyFill="1" applyBorder="1"/>
    <xf numFmtId="0" fontId="22" fillId="5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164" fontId="28" fillId="0" borderId="1" xfId="0" applyNumberFormat="1" applyFont="1" applyBorder="1" applyAlignment="1">
      <alignment horizontal="right" vertical="center"/>
    </xf>
    <xf numFmtId="164" fontId="27" fillId="0" borderId="1" xfId="0" applyNumberFormat="1" applyFont="1" applyBorder="1" applyAlignment="1">
      <alignment horizontal="right" vertical="center"/>
    </xf>
    <xf numFmtId="164" fontId="19" fillId="12" borderId="1" xfId="0" applyNumberFormat="1" applyFont="1" applyFill="1" applyBorder="1" applyAlignment="1">
      <alignment horizontal="right" vertical="center"/>
    </xf>
    <xf numFmtId="169" fontId="29" fillId="0" borderId="1" xfId="0" applyNumberFormat="1" applyFont="1" applyBorder="1" applyAlignment="1">
      <alignment horizontal="right" vertical="center"/>
    </xf>
    <xf numFmtId="0" fontId="26" fillId="0" borderId="1" xfId="0" applyFont="1" applyBorder="1" applyAlignment="1">
      <alignment horizontal="left" vertical="center"/>
    </xf>
    <xf numFmtId="164" fontId="19" fillId="13" borderId="1" xfId="0" applyNumberFormat="1" applyFont="1" applyFill="1" applyBorder="1" applyAlignment="1">
      <alignment horizontal="right" vertical="center"/>
    </xf>
    <xf numFmtId="0" fontId="23" fillId="13" borderId="1" xfId="0" applyFont="1" applyFill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164" fontId="24" fillId="0" borderId="1" xfId="0" applyNumberFormat="1" applyFont="1" applyBorder="1" applyAlignment="1">
      <alignment horizontal="right" vertical="center"/>
    </xf>
    <xf numFmtId="0" fontId="25" fillId="0" borderId="1" xfId="0" applyFont="1" applyBorder="1" applyAlignment="1">
      <alignment horizontal="left" vertical="center" indent="1"/>
    </xf>
    <xf numFmtId="165" fontId="27" fillId="9" borderId="1" xfId="0" applyNumberFormat="1" applyFont="1" applyFill="1" applyBorder="1" applyAlignment="1">
      <alignment horizontal="right" vertical="center"/>
    </xf>
    <xf numFmtId="0" fontId="26" fillId="0" borderId="1" xfId="0" applyFont="1" applyBorder="1" applyAlignment="1">
      <alignment horizontal="right" vertical="center"/>
    </xf>
    <xf numFmtId="168" fontId="27" fillId="0" borderId="1" xfId="0" applyNumberFormat="1" applyFont="1" applyBorder="1" applyAlignment="1">
      <alignment horizontal="right" vertical="center"/>
    </xf>
    <xf numFmtId="164" fontId="19" fillId="9" borderId="1" xfId="0" applyNumberFormat="1" applyFont="1" applyFill="1" applyBorder="1" applyAlignment="1">
      <alignment horizontal="right" vertical="center"/>
    </xf>
    <xf numFmtId="164" fontId="27" fillId="14" borderId="1" xfId="0" applyNumberFormat="1" applyFont="1" applyFill="1" applyBorder="1" applyAlignment="1">
      <alignment horizontal="right" vertical="center"/>
    </xf>
    <xf numFmtId="0" fontId="20" fillId="4" borderId="1" xfId="0" applyFont="1" applyFill="1" applyBorder="1" applyAlignment="1">
      <alignment horizontal="center" vertical="center"/>
    </xf>
    <xf numFmtId="0" fontId="0" fillId="0" borderId="1" xfId="0" applyBorder="1"/>
    <xf numFmtId="0" fontId="21" fillId="0" borderId="1" xfId="0" applyFont="1" applyBorder="1" applyAlignment="1">
      <alignment horizontal="left" vertical="center"/>
    </xf>
    <xf numFmtId="0" fontId="22" fillId="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3" fillId="3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 indent="1"/>
    </xf>
    <xf numFmtId="0" fontId="0" fillId="0" borderId="3" xfId="0" applyBorder="1"/>
    <xf numFmtId="0" fontId="10" fillId="5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inden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2F2F2"/>
      <rgbColor rgb="FFDCEAF7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2F1C8"/>
      <rgbColor rgb="FFFFFF99"/>
      <rgbColor rgb="FFA6CAE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E64"/>
      <rgbColor rgb="FF3C7D22"/>
      <rgbColor rgb="FF003300"/>
      <rgbColor rgb="FF375623"/>
      <rgbColor rgb="FF993300"/>
      <rgbColor rgb="FF993366"/>
      <rgbColor rgb="FF2F5496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5"/>
  <sheetViews>
    <sheetView zoomScaleNormal="100" workbookViewId="0">
      <selection activeCell="E33" sqref="E33"/>
    </sheetView>
  </sheetViews>
  <sheetFormatPr baseColWidth="10" defaultColWidth="11.42578125" defaultRowHeight="15" x14ac:dyDescent="0.25"/>
  <cols>
    <col min="1" max="1" width="21.85546875" style="1" customWidth="1"/>
    <col min="2" max="2" width="45.85546875" style="1" customWidth="1"/>
    <col min="3" max="3" width="11.42578125" style="1" customWidth="1"/>
    <col min="4" max="16384" width="11.42578125" style="1"/>
  </cols>
  <sheetData>
    <row r="2" spans="1:2" ht="23.25" customHeight="1" x14ac:dyDescent="0.25">
      <c r="A2" s="86" t="s">
        <v>17</v>
      </c>
      <c r="B2" s="87"/>
    </row>
    <row r="3" spans="1:2" ht="15" customHeight="1" x14ac:dyDescent="0.25">
      <c r="A3" s="2" t="s">
        <v>18</v>
      </c>
      <c r="B3" s="3" t="s">
        <v>19</v>
      </c>
    </row>
    <row r="4" spans="1:2" ht="15" customHeight="1" x14ac:dyDescent="0.25">
      <c r="A4" s="2" t="s">
        <v>20</v>
      </c>
      <c r="B4" s="3" t="s">
        <v>21</v>
      </c>
    </row>
    <row r="5" spans="1:2" ht="15" customHeight="1" x14ac:dyDescent="0.25">
      <c r="A5" s="2" t="s">
        <v>22</v>
      </c>
      <c r="B5" s="3" t="s">
        <v>23</v>
      </c>
    </row>
    <row r="6" spans="1:2" ht="15" customHeight="1" x14ac:dyDescent="0.25">
      <c r="A6" s="2" t="s">
        <v>24</v>
      </c>
      <c r="B6" s="3" t="s">
        <v>25</v>
      </c>
    </row>
    <row r="7" spans="1:2" ht="15" customHeight="1" x14ac:dyDescent="0.25">
      <c r="A7" s="2" t="s">
        <v>26</v>
      </c>
      <c r="B7" s="3" t="s">
        <v>27</v>
      </c>
    </row>
    <row r="8" spans="1:2" ht="15" customHeight="1" x14ac:dyDescent="0.25">
      <c r="A8" s="2"/>
      <c r="B8" s="3"/>
    </row>
    <row r="9" spans="1:2" ht="15" customHeight="1" x14ac:dyDescent="0.25">
      <c r="B9" s="3"/>
    </row>
    <row r="10" spans="1:2" ht="15" customHeight="1" x14ac:dyDescent="0.25">
      <c r="A10" s="4" t="s">
        <v>28</v>
      </c>
      <c r="B10" s="5"/>
    </row>
    <row r="11" spans="1:2" ht="15" customHeight="1" x14ac:dyDescent="0.25">
      <c r="A11" s="6" t="s">
        <v>29</v>
      </c>
      <c r="B11" s="3" t="s">
        <v>30</v>
      </c>
    </row>
    <row r="12" spans="1:2" ht="15" customHeight="1" x14ac:dyDescent="0.25">
      <c r="A12" s="7" t="s">
        <v>31</v>
      </c>
      <c r="B12" s="3" t="s">
        <v>32</v>
      </c>
    </row>
    <row r="13" spans="1:2" ht="15" customHeight="1" x14ac:dyDescent="0.25">
      <c r="A13" s="8" t="s">
        <v>33</v>
      </c>
      <c r="B13" s="3" t="s">
        <v>34</v>
      </c>
    </row>
    <row r="16" spans="1:2" ht="15" customHeight="1" x14ac:dyDescent="0.25">
      <c r="A16" s="88" t="s">
        <v>35</v>
      </c>
      <c r="B16" s="87"/>
    </row>
    <row r="17" spans="1:2" ht="15" customHeight="1" x14ac:dyDescent="0.25">
      <c r="A17" s="9" t="s">
        <v>36</v>
      </c>
      <c r="B17" s="3" t="s">
        <v>37</v>
      </c>
    </row>
    <row r="18" spans="1:2" ht="15" customHeight="1" x14ac:dyDescent="0.25">
      <c r="A18" s="9" t="s">
        <v>38</v>
      </c>
      <c r="B18" s="3" t="s">
        <v>39</v>
      </c>
    </row>
    <row r="19" spans="1:2" ht="15" customHeight="1" x14ac:dyDescent="0.25">
      <c r="A19" s="9" t="s">
        <v>40</v>
      </c>
      <c r="B19" s="3" t="s">
        <v>41</v>
      </c>
    </row>
    <row r="20" spans="1:2" ht="15" customHeight="1" x14ac:dyDescent="0.25">
      <c r="A20" s="9" t="s">
        <v>42</v>
      </c>
      <c r="B20" s="3" t="s">
        <v>43</v>
      </c>
    </row>
    <row r="21" spans="1:2" ht="15" customHeight="1" x14ac:dyDescent="0.25">
      <c r="A21" s="9" t="s">
        <v>44</v>
      </c>
      <c r="B21" s="3" t="s">
        <v>45</v>
      </c>
    </row>
    <row r="22" spans="1:2" ht="15" customHeight="1" x14ac:dyDescent="0.25">
      <c r="A22" s="9" t="s">
        <v>46</v>
      </c>
      <c r="B22" s="3" t="s">
        <v>47</v>
      </c>
    </row>
    <row r="23" spans="1:2" ht="15" customHeight="1" x14ac:dyDescent="0.25">
      <c r="A23" s="9" t="s">
        <v>48</v>
      </c>
      <c r="B23" s="3" t="s">
        <v>49</v>
      </c>
    </row>
    <row r="24" spans="1:2" ht="15" customHeight="1" x14ac:dyDescent="0.25">
      <c r="A24" s="9" t="s">
        <v>50</v>
      </c>
      <c r="B24" s="3" t="s">
        <v>51</v>
      </c>
    </row>
    <row r="25" spans="1:2" ht="15" customHeight="1" x14ac:dyDescent="0.25">
      <c r="A25" s="9" t="s">
        <v>52</v>
      </c>
      <c r="B25" s="3" t="s">
        <v>53</v>
      </c>
    </row>
  </sheetData>
  <mergeCells count="2">
    <mergeCell ref="A2:B2"/>
    <mergeCell ref="A16:B1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94"/>
  <sheetViews>
    <sheetView topLeftCell="A40" zoomScaleNormal="100" workbookViewId="0">
      <selection activeCell="D37" sqref="D37"/>
    </sheetView>
  </sheetViews>
  <sheetFormatPr baseColWidth="10" defaultColWidth="11.42578125" defaultRowHeight="15" x14ac:dyDescent="0.25"/>
  <cols>
    <col min="1" max="1" width="11.42578125" style="1" customWidth="1"/>
    <col min="2" max="2" width="28.140625" style="1" customWidth="1"/>
    <col min="3" max="4" width="11.42578125" style="1" customWidth="1"/>
    <col min="5" max="5" width="14.28515625" style="1" customWidth="1"/>
    <col min="6" max="6" width="11.42578125" style="1" customWidth="1"/>
    <col min="7" max="16384" width="11.42578125" style="1"/>
  </cols>
  <sheetData>
    <row r="1" spans="2:10" ht="15" customHeight="1" x14ac:dyDescent="0.25">
      <c r="B1" s="92" t="s">
        <v>54</v>
      </c>
      <c r="C1" s="90"/>
      <c r="D1" s="90"/>
      <c r="E1" s="90"/>
      <c r="F1" s="90"/>
      <c r="G1" s="90"/>
      <c r="H1" s="90"/>
      <c r="I1" s="90"/>
      <c r="J1" s="87"/>
    </row>
    <row r="2" spans="2:10" ht="15" customHeight="1" x14ac:dyDescent="0.25">
      <c r="B2" s="7"/>
      <c r="C2" s="10" t="s">
        <v>1</v>
      </c>
      <c r="D2" s="10" t="s">
        <v>2</v>
      </c>
      <c r="E2" s="10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</row>
    <row r="3" spans="2:10" ht="15" customHeight="1" x14ac:dyDescent="0.25">
      <c r="B3" s="89" t="s">
        <v>55</v>
      </c>
      <c r="C3" s="90"/>
      <c r="D3" s="90"/>
      <c r="E3" s="90"/>
      <c r="F3" s="90"/>
      <c r="G3" s="90"/>
      <c r="H3" s="90"/>
      <c r="I3" s="90"/>
      <c r="J3" s="87"/>
    </row>
    <row r="4" spans="2:10" ht="15" customHeight="1" x14ac:dyDescent="0.25">
      <c r="B4" s="12" t="s">
        <v>56</v>
      </c>
      <c r="C4" s="13">
        <v>26640</v>
      </c>
      <c r="D4" s="13">
        <v>25846</v>
      </c>
      <c r="E4" s="13">
        <v>24942</v>
      </c>
    </row>
    <row r="5" spans="2:10" ht="15" customHeight="1" x14ac:dyDescent="0.25">
      <c r="B5" s="12" t="s">
        <v>57</v>
      </c>
      <c r="C5" s="13">
        <v>17714</v>
      </c>
      <c r="D5" s="13">
        <v>16878</v>
      </c>
      <c r="E5" s="13">
        <v>16633</v>
      </c>
    </row>
    <row r="6" spans="2:10" ht="15" customHeight="1" x14ac:dyDescent="0.25">
      <c r="B6" s="14" t="s">
        <v>58</v>
      </c>
      <c r="C6" s="15">
        <f>C4-C5</f>
        <v>8926</v>
      </c>
      <c r="D6" s="15">
        <f>D4-D5</f>
        <v>8968</v>
      </c>
      <c r="E6" s="15">
        <f>E4-E5</f>
        <v>8309</v>
      </c>
    </row>
    <row r="7" spans="2:10" ht="15" customHeight="1" x14ac:dyDescent="0.25">
      <c r="B7" s="14"/>
      <c r="C7" s="16"/>
      <c r="D7" s="16"/>
      <c r="E7" s="16"/>
    </row>
    <row r="8" spans="2:10" ht="15" customHeight="1" x14ac:dyDescent="0.25">
      <c r="B8" s="12" t="s">
        <v>59</v>
      </c>
      <c r="C8" s="13">
        <v>3692</v>
      </c>
      <c r="D8" s="13">
        <v>3616</v>
      </c>
      <c r="E8" s="13">
        <v>3672</v>
      </c>
    </row>
    <row r="9" spans="2:10" ht="15" customHeight="1" x14ac:dyDescent="0.25">
      <c r="B9" s="17" t="s">
        <v>60</v>
      </c>
      <c r="C9" s="18">
        <v>961</v>
      </c>
      <c r="D9" s="18">
        <v>948</v>
      </c>
      <c r="E9" s="18">
        <v>968</v>
      </c>
    </row>
    <row r="10" spans="2:10" ht="15" customHeight="1" x14ac:dyDescent="0.25">
      <c r="B10" s="12" t="s">
        <v>61</v>
      </c>
      <c r="C10" s="13">
        <v>510</v>
      </c>
      <c r="D10" s="13">
        <v>1638</v>
      </c>
      <c r="E10" s="13">
        <v>6734</v>
      </c>
    </row>
    <row r="11" spans="2:10" ht="15" customHeight="1" x14ac:dyDescent="0.25">
      <c r="B11" s="12" t="s">
        <v>62</v>
      </c>
      <c r="C11" s="13">
        <v>152</v>
      </c>
      <c r="D11" s="13">
        <v>2031</v>
      </c>
      <c r="E11" s="13">
        <v>2572</v>
      </c>
    </row>
    <row r="12" spans="2:10" ht="15" customHeight="1" x14ac:dyDescent="0.25">
      <c r="B12" s="14" t="s">
        <v>63</v>
      </c>
      <c r="C12" s="15">
        <f>C6-C8-C10-C11</f>
        <v>4572</v>
      </c>
      <c r="D12" s="15">
        <f>D6-D8-D10-D11</f>
        <v>1683</v>
      </c>
      <c r="E12" s="15">
        <f>E6-E8-E10-E11</f>
        <v>-4669</v>
      </c>
      <c r="J12" s="19"/>
    </row>
    <row r="13" spans="2:10" ht="15" customHeight="1" x14ac:dyDescent="0.25">
      <c r="B13" s="14"/>
      <c r="C13" s="16"/>
      <c r="D13" s="16"/>
      <c r="E13" s="16"/>
    </row>
    <row r="14" spans="2:10" ht="15" customHeight="1" x14ac:dyDescent="0.25">
      <c r="B14" s="12" t="s">
        <v>64</v>
      </c>
      <c r="C14" s="13">
        <v>912</v>
      </c>
      <c r="D14" s="13">
        <v>912</v>
      </c>
      <c r="E14" s="13">
        <v>947</v>
      </c>
    </row>
    <row r="15" spans="2:10" ht="15" customHeight="1" x14ac:dyDescent="0.25">
      <c r="B15" s="12" t="s">
        <v>65</v>
      </c>
      <c r="C15" s="13">
        <v>27</v>
      </c>
      <c r="D15" s="13">
        <v>-85</v>
      </c>
      <c r="E15" s="13">
        <v>-171</v>
      </c>
    </row>
    <row r="16" spans="2:10" ht="15" customHeight="1" x14ac:dyDescent="0.25">
      <c r="B16" s="14" t="s">
        <v>66</v>
      </c>
      <c r="C16" s="15">
        <f>C12-C14-C15</f>
        <v>3633</v>
      </c>
      <c r="D16" s="15">
        <f>D12-D14-D15</f>
        <v>856</v>
      </c>
      <c r="E16" s="15">
        <f>E12-E14-E15</f>
        <v>-5445</v>
      </c>
    </row>
    <row r="17" spans="2:10" ht="15" customHeight="1" x14ac:dyDescent="0.25">
      <c r="B17" s="14"/>
      <c r="C17" s="16"/>
      <c r="D17" s="16"/>
      <c r="E17" s="16"/>
    </row>
    <row r="18" spans="2:10" ht="15" customHeight="1" x14ac:dyDescent="0.25">
      <c r="B18" s="12" t="s">
        <v>67</v>
      </c>
      <c r="C18" s="13">
        <v>787</v>
      </c>
      <c r="D18" s="13">
        <v>-1890</v>
      </c>
      <c r="E18" s="13">
        <v>403</v>
      </c>
    </row>
    <row r="19" spans="2:10" ht="15" customHeight="1" x14ac:dyDescent="0.25">
      <c r="B19" s="14" t="s">
        <v>68</v>
      </c>
      <c r="C19" s="15">
        <f>C16-C18</f>
        <v>2846</v>
      </c>
      <c r="D19" s="15">
        <f>D16-D18</f>
        <v>2746</v>
      </c>
      <c r="E19" s="15">
        <f>E16-E18</f>
        <v>-5848</v>
      </c>
    </row>
    <row r="21" spans="2:10" ht="15" customHeight="1" x14ac:dyDescent="0.25">
      <c r="B21" s="89" t="s">
        <v>69</v>
      </c>
      <c r="C21" s="90"/>
      <c r="D21" s="90"/>
      <c r="E21" s="90"/>
      <c r="F21" s="90"/>
      <c r="G21" s="90"/>
      <c r="H21" s="90"/>
      <c r="I21" s="90"/>
      <c r="J21" s="87"/>
    </row>
    <row r="22" spans="2:10" ht="15" customHeight="1" x14ac:dyDescent="0.25">
      <c r="B22" s="20" t="s">
        <v>70</v>
      </c>
      <c r="C22" s="21"/>
      <c r="D22" s="21"/>
      <c r="E22" s="21"/>
      <c r="F22" s="21"/>
      <c r="G22" s="21"/>
      <c r="H22" s="21"/>
      <c r="I22" s="21"/>
      <c r="J22" s="21"/>
    </row>
    <row r="23" spans="2:10" ht="15" customHeight="1" x14ac:dyDescent="0.25">
      <c r="B23" s="12" t="s">
        <v>71</v>
      </c>
      <c r="C23" s="13">
        <v>1400</v>
      </c>
      <c r="D23" s="13">
        <v>1334</v>
      </c>
      <c r="E23" s="13">
        <v>2615</v>
      </c>
    </row>
    <row r="24" spans="2:10" ht="15" customHeight="1" x14ac:dyDescent="0.25">
      <c r="B24" s="12" t="s">
        <v>72</v>
      </c>
      <c r="C24" s="13">
        <v>2112</v>
      </c>
      <c r="D24" s="13">
        <v>2147</v>
      </c>
      <c r="E24" s="13">
        <v>2254</v>
      </c>
    </row>
    <row r="25" spans="2:10" ht="15" customHeight="1" x14ac:dyDescent="0.25">
      <c r="B25" s="12" t="s">
        <v>73</v>
      </c>
      <c r="C25" s="13">
        <v>3614</v>
      </c>
      <c r="D25" s="13">
        <v>3376</v>
      </c>
      <c r="E25" s="13">
        <v>3167</v>
      </c>
    </row>
    <row r="26" spans="2:10" ht="15" customHeight="1" x14ac:dyDescent="0.25">
      <c r="B26" s="12" t="s">
        <v>74</v>
      </c>
      <c r="C26" s="13">
        <v>1803</v>
      </c>
      <c r="D26" s="13">
        <v>1396</v>
      </c>
      <c r="E26" s="13">
        <v>2091</v>
      </c>
    </row>
    <row r="27" spans="2:10" ht="15" customHeight="1" x14ac:dyDescent="0.25">
      <c r="B27" s="14" t="s">
        <v>75</v>
      </c>
      <c r="C27" s="15">
        <f>SUM(C23:C26)</f>
        <v>8929</v>
      </c>
      <c r="D27" s="15">
        <f>SUM(D23:D26)</f>
        <v>8253</v>
      </c>
      <c r="E27" s="15">
        <f>SUM(E23:E26)</f>
        <v>10127</v>
      </c>
    </row>
    <row r="28" spans="2:10" ht="15" customHeight="1" x14ac:dyDescent="0.25">
      <c r="B28" s="14"/>
      <c r="C28" s="16"/>
      <c r="D28" s="16"/>
      <c r="E28" s="16"/>
    </row>
    <row r="29" spans="2:10" ht="15" customHeight="1" x14ac:dyDescent="0.25">
      <c r="B29" s="12" t="s">
        <v>76</v>
      </c>
      <c r="C29" s="13">
        <v>7400</v>
      </c>
      <c r="D29" s="13">
        <v>7152</v>
      </c>
      <c r="E29" s="13">
        <v>7318</v>
      </c>
    </row>
    <row r="30" spans="2:10" ht="15" customHeight="1" x14ac:dyDescent="0.25">
      <c r="B30" s="12" t="s">
        <v>77</v>
      </c>
      <c r="C30" s="13">
        <v>30600</v>
      </c>
      <c r="D30" s="13">
        <v>28673</v>
      </c>
      <c r="E30" s="13">
        <v>22179</v>
      </c>
    </row>
    <row r="31" spans="2:10" ht="15" customHeight="1" x14ac:dyDescent="0.25">
      <c r="B31" s="12" t="s">
        <v>78</v>
      </c>
      <c r="C31" s="13">
        <v>42000</v>
      </c>
      <c r="D31" s="13">
        <v>40099</v>
      </c>
      <c r="E31" s="13">
        <v>37529</v>
      </c>
    </row>
    <row r="32" spans="2:10" ht="15" customHeight="1" x14ac:dyDescent="0.25">
      <c r="B32" s="12" t="s">
        <v>79</v>
      </c>
      <c r="C32" s="13">
        <v>4800</v>
      </c>
      <c r="D32" s="13">
        <v>4708</v>
      </c>
      <c r="E32" s="13">
        <v>4633</v>
      </c>
    </row>
    <row r="33" spans="2:10" ht="15" customHeight="1" x14ac:dyDescent="0.25">
      <c r="B33" s="14" t="s">
        <v>80</v>
      </c>
      <c r="C33" s="15">
        <f>C27+C29+C30+C31+C32</f>
        <v>93729</v>
      </c>
      <c r="D33" s="15">
        <f>D27+D29+D30+D31+D32</f>
        <v>88885</v>
      </c>
      <c r="E33" s="15">
        <f>E27+E29+E30+E31+E32</f>
        <v>81786</v>
      </c>
    </row>
    <row r="34" spans="2:10" ht="15" customHeight="1" x14ac:dyDescent="0.25">
      <c r="B34" s="14"/>
      <c r="C34" s="16"/>
      <c r="D34" s="16"/>
      <c r="E34" s="16"/>
    </row>
    <row r="35" spans="2:10" ht="15" customHeight="1" x14ac:dyDescent="0.25">
      <c r="B35" s="14" t="s">
        <v>81</v>
      </c>
      <c r="C35" s="16"/>
      <c r="D35" s="16"/>
      <c r="E35" s="16"/>
    </row>
    <row r="36" spans="2:10" ht="15" customHeight="1" x14ac:dyDescent="0.25">
      <c r="B36" s="12" t="s">
        <v>82</v>
      </c>
      <c r="C36" s="13">
        <v>4496</v>
      </c>
      <c r="D36" s="13">
        <v>4188</v>
      </c>
      <c r="E36" s="13">
        <v>4308</v>
      </c>
    </row>
    <row r="37" spans="2:10" ht="15" customHeight="1" x14ac:dyDescent="0.25">
      <c r="B37" s="12" t="s">
        <v>83</v>
      </c>
      <c r="C37" s="13">
        <v>652</v>
      </c>
      <c r="D37" s="13">
        <v>654</v>
      </c>
      <c r="E37" s="13">
        <v>1908</v>
      </c>
    </row>
    <row r="38" spans="2:10" ht="15" customHeight="1" x14ac:dyDescent="0.25">
      <c r="B38" s="12" t="s">
        <v>84</v>
      </c>
      <c r="C38" s="13">
        <v>2554</v>
      </c>
      <c r="D38" s="13">
        <v>2411</v>
      </c>
      <c r="E38" s="13">
        <v>2562</v>
      </c>
    </row>
    <row r="39" spans="2:10" ht="15" customHeight="1" x14ac:dyDescent="0.25">
      <c r="B39" s="14" t="s">
        <v>85</v>
      </c>
      <c r="C39" s="15">
        <f>C36+C37+C38</f>
        <v>7702</v>
      </c>
      <c r="D39" s="15">
        <f>D36+D37+D38</f>
        <v>7253</v>
      </c>
      <c r="E39" s="15">
        <f>E36+E37+E38</f>
        <v>8778</v>
      </c>
    </row>
    <row r="40" spans="2:10" ht="15" customHeight="1" x14ac:dyDescent="0.25">
      <c r="B40" s="14"/>
      <c r="C40" s="16"/>
      <c r="D40" s="16"/>
      <c r="E40" s="16"/>
      <c r="F40" s="22"/>
    </row>
    <row r="41" spans="2:10" ht="15" customHeight="1" x14ac:dyDescent="0.25">
      <c r="B41" s="12" t="s">
        <v>86</v>
      </c>
      <c r="C41" s="13">
        <v>19900</v>
      </c>
      <c r="D41" s="13">
        <v>19215</v>
      </c>
      <c r="E41" s="13">
        <v>19311</v>
      </c>
    </row>
    <row r="42" spans="2:10" ht="15" customHeight="1" x14ac:dyDescent="0.25">
      <c r="B42" s="12" t="s">
        <v>87</v>
      </c>
      <c r="C42" s="13">
        <v>11700</v>
      </c>
      <c r="D42" s="13">
        <v>12494</v>
      </c>
      <c r="E42" s="13">
        <v>11908</v>
      </c>
    </row>
    <row r="43" spans="2:10" ht="15" customHeight="1" x14ac:dyDescent="0.25">
      <c r="B43" s="14" t="s">
        <v>88</v>
      </c>
      <c r="C43" s="15">
        <f>C39+C41+C42</f>
        <v>39302</v>
      </c>
      <c r="D43" s="15">
        <f>D39+D41+D42</f>
        <v>38962</v>
      </c>
      <c r="E43" s="15">
        <f>E39+E41+E42</f>
        <v>39997</v>
      </c>
    </row>
    <row r="44" spans="2:10" ht="15" customHeight="1" x14ac:dyDescent="0.25">
      <c r="B44" s="14"/>
      <c r="C44" s="16"/>
      <c r="D44" s="16"/>
      <c r="E44" s="16"/>
    </row>
    <row r="45" spans="2:10" ht="15" customHeight="1" x14ac:dyDescent="0.25">
      <c r="B45" s="12" t="s">
        <v>89</v>
      </c>
      <c r="C45" s="13">
        <v>49688</v>
      </c>
      <c r="D45" s="13">
        <v>49319</v>
      </c>
      <c r="E45" s="13">
        <v>41777</v>
      </c>
    </row>
    <row r="46" spans="2:10" ht="15" customHeight="1" x14ac:dyDescent="0.25">
      <c r="B46" s="14" t="s">
        <v>90</v>
      </c>
      <c r="C46" s="15">
        <f>C43+C45</f>
        <v>88990</v>
      </c>
      <c r="D46" s="15">
        <f>D43+D45</f>
        <v>88281</v>
      </c>
      <c r="E46" s="15">
        <f>E43+E45</f>
        <v>81774</v>
      </c>
    </row>
    <row r="48" spans="2:10" ht="15" customHeight="1" x14ac:dyDescent="0.25">
      <c r="B48" s="89" t="s">
        <v>91</v>
      </c>
      <c r="C48" s="90"/>
      <c r="D48" s="90"/>
      <c r="E48" s="90"/>
      <c r="F48" s="90"/>
      <c r="G48" s="90"/>
      <c r="H48" s="90"/>
      <c r="I48" s="90"/>
      <c r="J48" s="87"/>
    </row>
    <row r="49" spans="2:5" ht="15" customHeight="1" x14ac:dyDescent="0.25">
      <c r="B49" s="12" t="s">
        <v>68</v>
      </c>
      <c r="C49" s="13">
        <v>2846</v>
      </c>
      <c r="D49" s="13">
        <v>2746</v>
      </c>
      <c r="E49" s="13">
        <v>-5848</v>
      </c>
    </row>
    <row r="50" spans="2:5" ht="15" customHeight="1" x14ac:dyDescent="0.25">
      <c r="B50" s="12" t="s">
        <v>92</v>
      </c>
      <c r="C50" s="13">
        <v>961</v>
      </c>
      <c r="D50" s="13">
        <v>948</v>
      </c>
      <c r="E50" s="13">
        <v>968</v>
      </c>
    </row>
    <row r="51" spans="2:5" ht="15" customHeight="1" x14ac:dyDescent="0.25">
      <c r="B51" s="12" t="s">
        <v>93</v>
      </c>
      <c r="C51" s="13">
        <v>662</v>
      </c>
      <c r="D51" s="13">
        <v>3669</v>
      </c>
      <c r="E51" s="13">
        <v>9306</v>
      </c>
    </row>
    <row r="52" spans="2:5" ht="15" customHeight="1" x14ac:dyDescent="0.25">
      <c r="B52" s="12" t="s">
        <v>94</v>
      </c>
      <c r="C52" s="13">
        <v>363</v>
      </c>
      <c r="D52" s="13">
        <v>-3670</v>
      </c>
      <c r="E52" s="13">
        <v>-194</v>
      </c>
    </row>
    <row r="53" spans="2:5" ht="15" customHeight="1" x14ac:dyDescent="0.25">
      <c r="B53" s="12" t="s">
        <v>95</v>
      </c>
      <c r="C53" s="13">
        <v>-746</v>
      </c>
      <c r="D53" s="13">
        <v>491</v>
      </c>
      <c r="E53" s="13">
        <v>230</v>
      </c>
    </row>
    <row r="54" spans="2:5" ht="15" customHeight="1" x14ac:dyDescent="0.25">
      <c r="B54" s="14" t="s">
        <v>96</v>
      </c>
      <c r="C54" s="15">
        <f>SUM(C49:C53)</f>
        <v>4086</v>
      </c>
      <c r="D54" s="15">
        <f>SUM(D49:D53)</f>
        <v>4184</v>
      </c>
      <c r="E54" s="15">
        <f>SUM(E49:E53)</f>
        <v>4462</v>
      </c>
    </row>
    <row r="55" spans="2:5" ht="15" customHeight="1" x14ac:dyDescent="0.25">
      <c r="B55" s="14"/>
      <c r="C55" s="16"/>
      <c r="D55" s="16"/>
      <c r="E55" s="16"/>
    </row>
    <row r="56" spans="2:5" ht="15" customHeight="1" x14ac:dyDescent="0.25">
      <c r="B56" s="12" t="s">
        <v>97</v>
      </c>
      <c r="C56" s="13">
        <v>-1013</v>
      </c>
      <c r="D56" s="13">
        <v>-1024</v>
      </c>
      <c r="E56" s="13">
        <v>-801</v>
      </c>
    </row>
    <row r="57" spans="2:5" ht="15" customHeight="1" x14ac:dyDescent="0.25">
      <c r="B57" s="12" t="s">
        <v>98</v>
      </c>
      <c r="C57" s="13">
        <v>97</v>
      </c>
      <c r="D57" s="13">
        <v>133</v>
      </c>
      <c r="E57" s="13">
        <v>-1717</v>
      </c>
    </row>
    <row r="58" spans="2:5" ht="15" customHeight="1" x14ac:dyDescent="0.25">
      <c r="B58" s="14" t="s">
        <v>99</v>
      </c>
      <c r="C58" s="15">
        <f>SUM(C56:C57)</f>
        <v>-916</v>
      </c>
      <c r="D58" s="15">
        <f>SUM(D56:D57)</f>
        <v>-891</v>
      </c>
      <c r="E58" s="15">
        <f>SUM(E56:E57)</f>
        <v>-2518</v>
      </c>
    </row>
    <row r="59" spans="2:5" s="22" customFormat="1" ht="15" customHeight="1" x14ac:dyDescent="0.25">
      <c r="B59" s="23"/>
      <c r="C59" s="16"/>
      <c r="D59" s="16"/>
      <c r="E59" s="16"/>
    </row>
    <row r="60" spans="2:5" ht="15" customHeight="1" x14ac:dyDescent="0.25">
      <c r="B60" s="12" t="s">
        <v>100</v>
      </c>
      <c r="C60" s="13">
        <v>-191</v>
      </c>
      <c r="D60" s="13">
        <v>-24</v>
      </c>
      <c r="E60" s="13">
        <v>942</v>
      </c>
    </row>
    <row r="61" spans="2:5" ht="15" customHeight="1" x14ac:dyDescent="0.25">
      <c r="B61" s="12" t="s">
        <v>101</v>
      </c>
      <c r="C61" s="13">
        <v>-1965</v>
      </c>
      <c r="D61" s="13">
        <v>-1931</v>
      </c>
      <c r="E61" s="13">
        <v>-1898</v>
      </c>
    </row>
    <row r="62" spans="2:5" ht="15" customHeight="1" x14ac:dyDescent="0.25">
      <c r="B62" s="12" t="s">
        <v>102</v>
      </c>
      <c r="C62" s="13">
        <v>-455</v>
      </c>
      <c r="D62" s="13">
        <v>-988</v>
      </c>
      <c r="E62" s="13">
        <v>-436</v>
      </c>
    </row>
    <row r="63" spans="2:5" ht="15" customHeight="1" x14ac:dyDescent="0.25">
      <c r="B63" s="12" t="s">
        <v>103</v>
      </c>
      <c r="C63" s="13">
        <v>-67</v>
      </c>
      <c r="D63" s="13">
        <v>-65</v>
      </c>
      <c r="E63" s="13">
        <v>141</v>
      </c>
    </row>
    <row r="64" spans="2:5" ht="15" customHeight="1" x14ac:dyDescent="0.25">
      <c r="B64" s="14" t="s">
        <v>104</v>
      </c>
      <c r="C64" s="15">
        <f>SUM(C60:C63)</f>
        <v>-2678</v>
      </c>
      <c r="D64" s="15">
        <f>SUM(D60:D63)</f>
        <v>-3008</v>
      </c>
      <c r="E64" s="15">
        <f>SUM(E60:E63)</f>
        <v>-1251</v>
      </c>
    </row>
    <row r="65" spans="2:10" ht="15" customHeight="1" x14ac:dyDescent="0.25">
      <c r="B65" s="14"/>
      <c r="C65" s="16"/>
      <c r="D65" s="16"/>
      <c r="E65" s="16"/>
    </row>
    <row r="66" spans="2:10" ht="15" customHeight="1" x14ac:dyDescent="0.25">
      <c r="B66" s="12" t="s">
        <v>105</v>
      </c>
      <c r="C66" s="13">
        <v>-19</v>
      </c>
      <c r="D66" s="13">
        <v>-71</v>
      </c>
      <c r="E66" s="13">
        <v>80</v>
      </c>
    </row>
    <row r="67" spans="2:10" ht="15" customHeight="1" x14ac:dyDescent="0.25">
      <c r="B67" s="14" t="s">
        <v>106</v>
      </c>
      <c r="C67" s="15">
        <f>C54+C58+C64+C66</f>
        <v>473</v>
      </c>
      <c r="D67" s="15">
        <f>D54+D58+D64+D66</f>
        <v>214</v>
      </c>
      <c r="E67" s="15">
        <f>E54+E58+E64+E66</f>
        <v>773</v>
      </c>
    </row>
    <row r="69" spans="2:10" ht="15" customHeight="1" x14ac:dyDescent="0.25">
      <c r="B69" s="89" t="s">
        <v>107</v>
      </c>
      <c r="C69" s="90"/>
      <c r="D69" s="90"/>
      <c r="E69" s="90"/>
      <c r="F69" s="90"/>
      <c r="G69" s="90"/>
      <c r="H69" s="90"/>
      <c r="I69" s="90"/>
      <c r="J69" s="87"/>
    </row>
    <row r="70" spans="2:10" ht="15" customHeight="1" x14ac:dyDescent="0.25">
      <c r="F70" s="24" t="s">
        <v>4</v>
      </c>
      <c r="G70" s="24" t="s">
        <v>5</v>
      </c>
      <c r="H70" s="24" t="s">
        <v>6</v>
      </c>
      <c r="I70" s="24" t="s">
        <v>7</v>
      </c>
      <c r="J70" s="24" t="s">
        <v>8</v>
      </c>
    </row>
    <row r="71" spans="2:10" ht="15" customHeight="1" x14ac:dyDescent="0.25">
      <c r="B71" s="91" t="s">
        <v>108</v>
      </c>
      <c r="C71" s="90"/>
      <c r="D71" s="90"/>
      <c r="E71" s="90"/>
      <c r="F71" s="90"/>
      <c r="G71" s="90"/>
      <c r="H71" s="90"/>
      <c r="I71" s="90"/>
      <c r="J71" s="87"/>
    </row>
    <row r="72" spans="2:10" ht="15" customHeight="1" x14ac:dyDescent="0.25">
      <c r="B72" s="25" t="s">
        <v>109</v>
      </c>
      <c r="F72" s="26">
        <v>-0.03</v>
      </c>
      <c r="G72" s="26">
        <v>-0.02</v>
      </c>
      <c r="H72" s="26">
        <v>0</v>
      </c>
      <c r="I72" s="26">
        <v>0.01</v>
      </c>
      <c r="J72" s="26">
        <v>1.4999999999999999E-2</v>
      </c>
    </row>
    <row r="73" spans="2:10" ht="15" customHeight="1" x14ac:dyDescent="0.25">
      <c r="B73" s="25" t="s">
        <v>110</v>
      </c>
      <c r="F73" s="26">
        <v>1E-3</v>
      </c>
      <c r="G73" s="26">
        <v>5.0000000000000001E-3</v>
      </c>
      <c r="H73" s="26">
        <v>0.01</v>
      </c>
      <c r="I73" s="26">
        <v>0.01</v>
      </c>
      <c r="J73" s="26">
        <v>1.4999999999999999E-2</v>
      </c>
    </row>
    <row r="74" spans="2:10" ht="15" customHeight="1" x14ac:dyDescent="0.25">
      <c r="B74" s="25" t="s">
        <v>111</v>
      </c>
      <c r="F74" s="26">
        <v>1.7999999999999999E-2</v>
      </c>
      <c r="G74" s="26">
        <v>0.02</v>
      </c>
      <c r="H74" s="26">
        <v>0.02</v>
      </c>
      <c r="I74" s="26">
        <v>2.5000000000000001E-2</v>
      </c>
      <c r="J74" s="26">
        <v>2.5000000000000001E-2</v>
      </c>
    </row>
    <row r="75" spans="2:10" ht="15" customHeight="1" x14ac:dyDescent="0.25">
      <c r="B75" s="91" t="s">
        <v>112</v>
      </c>
      <c r="C75" s="90"/>
      <c r="D75" s="90"/>
      <c r="E75" s="90"/>
      <c r="F75" s="90"/>
      <c r="G75" s="90"/>
      <c r="H75" s="90"/>
      <c r="I75" s="90"/>
      <c r="J75" s="87"/>
    </row>
    <row r="76" spans="2:10" ht="15" customHeight="1" x14ac:dyDescent="0.25">
      <c r="B76" s="25" t="s">
        <v>113</v>
      </c>
      <c r="F76" s="26">
        <v>0.66700000000000004</v>
      </c>
      <c r="G76" s="26">
        <v>0.66500000000000004</v>
      </c>
      <c r="H76" s="26">
        <v>0.66</v>
      </c>
      <c r="I76" s="26">
        <v>0.65800000000000003</v>
      </c>
      <c r="J76" s="26">
        <v>0.65500000000000003</v>
      </c>
    </row>
    <row r="77" spans="2:10" ht="15" customHeight="1" x14ac:dyDescent="0.25">
      <c r="B77" s="25" t="s">
        <v>114</v>
      </c>
      <c r="F77" s="26">
        <v>0.14699999999999999</v>
      </c>
      <c r="G77" s="26">
        <v>0.14499999999999999</v>
      </c>
      <c r="H77" s="26">
        <v>0.14299999999999999</v>
      </c>
      <c r="I77" s="26">
        <v>0.14199999999999999</v>
      </c>
      <c r="J77" s="26">
        <v>0.14000000000000001</v>
      </c>
    </row>
    <row r="78" spans="2:10" ht="15" customHeight="1" x14ac:dyDescent="0.25">
      <c r="B78" s="25" t="s">
        <v>61</v>
      </c>
      <c r="F78" s="27">
        <v>0</v>
      </c>
      <c r="G78" s="27">
        <v>0</v>
      </c>
      <c r="H78" s="27">
        <v>0</v>
      </c>
      <c r="I78" s="27">
        <v>0</v>
      </c>
      <c r="J78" s="27">
        <v>0</v>
      </c>
    </row>
    <row r="79" spans="2:10" ht="15" customHeight="1" x14ac:dyDescent="0.25">
      <c r="B79" s="25" t="s">
        <v>62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</row>
    <row r="80" spans="2:10" ht="15" customHeight="1" x14ac:dyDescent="0.25">
      <c r="B80" s="25" t="s">
        <v>115</v>
      </c>
      <c r="F80" s="26">
        <v>0.21</v>
      </c>
      <c r="G80" s="26">
        <v>0.21</v>
      </c>
      <c r="H80" s="26">
        <v>0.21</v>
      </c>
      <c r="I80" s="26">
        <v>0.21</v>
      </c>
      <c r="J80" s="26">
        <v>0.21</v>
      </c>
    </row>
    <row r="81" spans="2:10" ht="15" customHeight="1" x14ac:dyDescent="0.25">
      <c r="B81" s="91" t="s">
        <v>116</v>
      </c>
      <c r="C81" s="90"/>
      <c r="D81" s="90"/>
      <c r="E81" s="90"/>
      <c r="F81" s="90"/>
      <c r="G81" s="90"/>
      <c r="H81" s="90"/>
      <c r="I81" s="90"/>
      <c r="J81" s="87"/>
    </row>
    <row r="82" spans="2:10" ht="15" customHeight="1" x14ac:dyDescent="0.25">
      <c r="B82" s="25" t="s">
        <v>117</v>
      </c>
      <c r="F82" s="28">
        <v>30</v>
      </c>
      <c r="G82" s="28">
        <v>30</v>
      </c>
      <c r="H82" s="28">
        <v>30</v>
      </c>
      <c r="I82" s="28">
        <v>30</v>
      </c>
      <c r="J82" s="28">
        <v>30</v>
      </c>
    </row>
    <row r="83" spans="2:10" ht="15" customHeight="1" x14ac:dyDescent="0.25">
      <c r="B83" s="25" t="s">
        <v>118</v>
      </c>
      <c r="F83" s="28">
        <v>69</v>
      </c>
      <c r="G83" s="28">
        <v>68</v>
      </c>
      <c r="H83" s="28">
        <v>67</v>
      </c>
      <c r="I83" s="28">
        <v>66</v>
      </c>
      <c r="J83" s="28">
        <v>65</v>
      </c>
    </row>
    <row r="84" spans="2:10" ht="15" customHeight="1" x14ac:dyDescent="0.25">
      <c r="B84" s="25" t="s">
        <v>119</v>
      </c>
      <c r="F84" s="28">
        <v>95</v>
      </c>
      <c r="G84" s="28">
        <v>95</v>
      </c>
      <c r="H84" s="28">
        <v>95</v>
      </c>
      <c r="I84" s="28">
        <v>95</v>
      </c>
      <c r="J84" s="28">
        <v>95</v>
      </c>
    </row>
    <row r="85" spans="2:10" ht="15" customHeight="1" x14ac:dyDescent="0.25">
      <c r="B85" s="91" t="s">
        <v>120</v>
      </c>
      <c r="C85" s="90"/>
      <c r="D85" s="90"/>
      <c r="E85" s="90"/>
      <c r="F85" s="90"/>
      <c r="G85" s="90"/>
      <c r="H85" s="90"/>
      <c r="I85" s="90"/>
      <c r="J85" s="87"/>
    </row>
    <row r="86" spans="2:10" ht="15" customHeight="1" x14ac:dyDescent="0.25">
      <c r="B86" s="25" t="s">
        <v>121</v>
      </c>
      <c r="F86" s="26">
        <v>3.3000000000000002E-2</v>
      </c>
      <c r="G86" s="26">
        <v>3.5000000000000003E-2</v>
      </c>
      <c r="H86" s="26">
        <v>3.5000000000000003E-2</v>
      </c>
      <c r="I86" s="26">
        <v>3.5000000000000003E-2</v>
      </c>
      <c r="J86" s="26">
        <v>3.5000000000000003E-2</v>
      </c>
    </row>
    <row r="87" spans="2:10" ht="15" customHeight="1" x14ac:dyDescent="0.25">
      <c r="B87" s="25" t="s">
        <v>122</v>
      </c>
      <c r="F87" s="26">
        <v>3.9E-2</v>
      </c>
      <c r="G87" s="26">
        <v>3.9E-2</v>
      </c>
      <c r="H87" s="26">
        <v>3.9E-2</v>
      </c>
      <c r="I87" s="26">
        <v>3.9E-2</v>
      </c>
      <c r="J87" s="26">
        <v>3.9E-2</v>
      </c>
    </row>
    <row r="88" spans="2:10" ht="15" customHeight="1" x14ac:dyDescent="0.25">
      <c r="B88" s="91" t="s">
        <v>46</v>
      </c>
      <c r="C88" s="90"/>
      <c r="D88" s="90"/>
      <c r="E88" s="90"/>
      <c r="F88" s="90"/>
      <c r="G88" s="90"/>
      <c r="H88" s="90"/>
      <c r="I88" s="90"/>
      <c r="J88" s="87"/>
    </row>
    <row r="89" spans="2:10" ht="15" customHeight="1" x14ac:dyDescent="0.25">
      <c r="B89" s="25" t="s">
        <v>123</v>
      </c>
      <c r="F89" s="26">
        <v>4.2000000000000003E-2</v>
      </c>
      <c r="G89" s="26">
        <v>4.2000000000000003E-2</v>
      </c>
      <c r="H89" s="26">
        <v>4.2000000000000003E-2</v>
      </c>
      <c r="I89" s="26">
        <v>4.2000000000000003E-2</v>
      </c>
      <c r="J89" s="26">
        <v>4.2000000000000003E-2</v>
      </c>
    </row>
    <row r="90" spans="2:10" ht="15" customHeight="1" x14ac:dyDescent="0.25">
      <c r="B90" s="25" t="s">
        <v>124</v>
      </c>
      <c r="F90" s="27">
        <v>600</v>
      </c>
      <c r="G90" s="27">
        <v>600</v>
      </c>
      <c r="H90" s="27">
        <v>600</v>
      </c>
      <c r="I90" s="27">
        <v>600</v>
      </c>
      <c r="J90" s="27">
        <v>600</v>
      </c>
    </row>
    <row r="91" spans="2:10" ht="15" customHeight="1" x14ac:dyDescent="0.25">
      <c r="B91" s="91" t="s">
        <v>125</v>
      </c>
      <c r="C91" s="90"/>
      <c r="D91" s="90"/>
      <c r="E91" s="90"/>
      <c r="F91" s="90"/>
      <c r="G91" s="90"/>
      <c r="H91" s="90"/>
      <c r="I91" s="90"/>
      <c r="J91" s="87"/>
    </row>
    <row r="92" spans="2:10" ht="15" customHeight="1" x14ac:dyDescent="0.25">
      <c r="B92" s="25" t="s">
        <v>126</v>
      </c>
      <c r="F92" s="27">
        <v>1.6</v>
      </c>
      <c r="G92" s="27">
        <v>1.6</v>
      </c>
      <c r="H92" s="27">
        <v>1.6</v>
      </c>
      <c r="I92" s="27">
        <v>1.6</v>
      </c>
      <c r="J92" s="27">
        <v>1.6</v>
      </c>
    </row>
    <row r="93" spans="2:10" ht="15" customHeight="1" x14ac:dyDescent="0.25">
      <c r="B93" s="25" t="s">
        <v>127</v>
      </c>
      <c r="F93" s="27">
        <v>1184</v>
      </c>
      <c r="G93" s="27">
        <v>1184</v>
      </c>
      <c r="H93" s="27">
        <v>1184</v>
      </c>
      <c r="I93" s="27">
        <v>1184</v>
      </c>
      <c r="J93" s="27">
        <v>1184</v>
      </c>
    </row>
    <row r="94" spans="2:10" ht="15" customHeight="1" x14ac:dyDescent="0.25">
      <c r="B94" s="25" t="s">
        <v>128</v>
      </c>
      <c r="F94" s="27">
        <v>-50</v>
      </c>
      <c r="G94" s="27">
        <v>-50</v>
      </c>
      <c r="H94" s="27">
        <v>-50</v>
      </c>
      <c r="I94" s="27">
        <v>-50</v>
      </c>
      <c r="J94" s="27">
        <v>-50</v>
      </c>
    </row>
  </sheetData>
  <mergeCells count="11">
    <mergeCell ref="B88:J88"/>
    <mergeCell ref="B75:J75"/>
    <mergeCell ref="B91:J91"/>
    <mergeCell ref="B69:J69"/>
    <mergeCell ref="B21:J21"/>
    <mergeCell ref="B48:J48"/>
    <mergeCell ref="B3:J3"/>
    <mergeCell ref="B81:J81"/>
    <mergeCell ref="B85:J85"/>
    <mergeCell ref="B1:J1"/>
    <mergeCell ref="B71:J7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"/>
  <sheetViews>
    <sheetView zoomScaleNormal="100" workbookViewId="0">
      <selection activeCell="L23" sqref="L23"/>
    </sheetView>
  </sheetViews>
  <sheetFormatPr baseColWidth="10" defaultColWidth="11.42578125" defaultRowHeight="14.25" x14ac:dyDescent="0.2"/>
  <cols>
    <col min="1" max="1" width="28.140625" style="29" customWidth="1"/>
    <col min="2" max="2" width="16.85546875" style="29" customWidth="1"/>
    <col min="3" max="3" width="15.28515625" style="29" customWidth="1"/>
    <col min="4" max="4" width="14" style="29" customWidth="1"/>
    <col min="5" max="5" width="13.42578125" style="29" customWidth="1"/>
    <col min="6" max="10" width="11.42578125" style="30" customWidth="1"/>
    <col min="11" max="11" width="11.42578125" style="29" customWidth="1"/>
    <col min="12" max="16384" width="11.42578125" style="29"/>
  </cols>
  <sheetData>
    <row r="1" spans="1:13" ht="14.25" customHeight="1" x14ac:dyDescent="0.25">
      <c r="A1" s="92" t="s">
        <v>129</v>
      </c>
      <c r="B1" s="90"/>
      <c r="C1" s="90"/>
      <c r="D1" s="90"/>
      <c r="E1" s="90"/>
      <c r="F1" s="90"/>
      <c r="G1" s="90"/>
      <c r="H1" s="90"/>
      <c r="I1" s="90"/>
      <c r="J1" s="87"/>
    </row>
    <row r="2" spans="1:13" ht="14.25" customHeight="1" x14ac:dyDescent="0.2">
      <c r="B2" s="31" t="s">
        <v>130</v>
      </c>
      <c r="C2" s="10" t="s">
        <v>1</v>
      </c>
      <c r="D2" s="10" t="s">
        <v>2</v>
      </c>
      <c r="E2" s="10" t="s">
        <v>3</v>
      </c>
      <c r="F2" s="32" t="s">
        <v>4</v>
      </c>
      <c r="G2" s="32" t="s">
        <v>5</v>
      </c>
      <c r="H2" s="32" t="s">
        <v>6</v>
      </c>
      <c r="I2" s="32" t="s">
        <v>7</v>
      </c>
      <c r="J2" s="32" t="s">
        <v>8</v>
      </c>
    </row>
    <row r="3" spans="1:13" ht="14.25" customHeight="1" x14ac:dyDescent="0.2">
      <c r="A3" s="14" t="s">
        <v>131</v>
      </c>
      <c r="B3" s="33" t="s">
        <v>132</v>
      </c>
      <c r="C3" s="13">
        <v>20126</v>
      </c>
      <c r="D3" s="13">
        <v>19543</v>
      </c>
      <c r="E3" s="13">
        <v>18586</v>
      </c>
      <c r="F3" s="34">
        <f>E3*(1+INPUTS!F72)</f>
        <v>18028.419999999998</v>
      </c>
      <c r="G3" s="34">
        <f>F3*(1+INPUTS!G72)</f>
        <v>17667.851599999998</v>
      </c>
      <c r="H3" s="34">
        <f>G3*(1+INPUTS!H72)</f>
        <v>17667.851599999998</v>
      </c>
      <c r="I3" s="34">
        <f>H3*(1+INPUTS!I72)</f>
        <v>17844.530115999998</v>
      </c>
      <c r="J3" s="34">
        <f>I3*(1+INPUTS!J72)</f>
        <v>18112.198067739995</v>
      </c>
      <c r="K3" s="35"/>
      <c r="L3" s="35"/>
      <c r="M3" s="35"/>
    </row>
    <row r="4" spans="1:13" ht="14.25" customHeight="1" x14ac:dyDescent="0.2">
      <c r="A4" s="36" t="s">
        <v>133</v>
      </c>
      <c r="B4" s="35"/>
      <c r="C4" s="37"/>
      <c r="D4" s="38">
        <f t="shared" ref="D4:J4" si="0">D3/C3-1</f>
        <v>-2.8967504720262327E-2</v>
      </c>
      <c r="E4" s="38">
        <f t="shared" si="0"/>
        <v>-4.8968940285524232E-2</v>
      </c>
      <c r="F4" s="39">
        <f t="shared" si="0"/>
        <v>-3.0000000000000138E-2</v>
      </c>
      <c r="G4" s="39">
        <f t="shared" si="0"/>
        <v>-2.0000000000000018E-2</v>
      </c>
      <c r="H4" s="39">
        <f t="shared" si="0"/>
        <v>0</v>
      </c>
      <c r="I4" s="39">
        <f t="shared" si="0"/>
        <v>1.0000000000000009E-2</v>
      </c>
      <c r="J4" s="39">
        <f t="shared" si="0"/>
        <v>1.4999999999999902E-2</v>
      </c>
      <c r="K4" s="35"/>
      <c r="L4" s="35"/>
      <c r="M4" s="35"/>
    </row>
    <row r="5" spans="1:13" ht="14.25" customHeight="1" x14ac:dyDescent="0.2">
      <c r="A5" s="36"/>
      <c r="B5" s="35"/>
      <c r="C5" s="37"/>
      <c r="D5" s="40"/>
      <c r="E5" s="40"/>
      <c r="F5" s="34"/>
      <c r="G5" s="34"/>
      <c r="H5" s="34"/>
      <c r="I5" s="34"/>
      <c r="J5" s="34"/>
      <c r="K5" s="35"/>
      <c r="L5" s="35"/>
      <c r="M5" s="35"/>
    </row>
    <row r="6" spans="1:13" ht="14.25" customHeight="1" x14ac:dyDescent="0.2">
      <c r="A6" s="14" t="s">
        <v>134</v>
      </c>
      <c r="B6" s="33" t="s">
        <v>132</v>
      </c>
      <c r="C6" s="13">
        <v>3623</v>
      </c>
      <c r="D6" s="13">
        <v>3535</v>
      </c>
      <c r="E6" s="13">
        <v>3539</v>
      </c>
      <c r="F6" s="34">
        <f>E6*(1+INPUTS!F73)</f>
        <v>3542.5389999999998</v>
      </c>
      <c r="G6" s="34">
        <f>F6*(1+INPUTS!G73)</f>
        <v>3560.2516949999995</v>
      </c>
      <c r="H6" s="34">
        <f>G6*(1+INPUTS!H73)</f>
        <v>3595.8542119499994</v>
      </c>
      <c r="I6" s="34">
        <f>H6*(1+INPUTS!I73)</f>
        <v>3631.8127540694995</v>
      </c>
      <c r="J6" s="34">
        <f>I6*(1+INPUTS!J73)</f>
        <v>3686.2899453805417</v>
      </c>
      <c r="K6" s="35"/>
      <c r="L6" s="35"/>
      <c r="M6" s="35"/>
    </row>
    <row r="7" spans="1:13" ht="14.25" customHeight="1" x14ac:dyDescent="0.2">
      <c r="A7" s="36" t="s">
        <v>133</v>
      </c>
      <c r="B7" s="35"/>
      <c r="C7" s="37"/>
      <c r="D7" s="38">
        <f t="shared" ref="D7:J7" si="1">D6/C6-1</f>
        <v>-2.4289263041678222E-2</v>
      </c>
      <c r="E7" s="38">
        <f t="shared" si="1"/>
        <v>1.1315417256010374E-3</v>
      </c>
      <c r="F7" s="41">
        <f t="shared" si="1"/>
        <v>9.9999999999988987E-4</v>
      </c>
      <c r="G7" s="41">
        <f t="shared" si="1"/>
        <v>4.9999999999998934E-3</v>
      </c>
      <c r="H7" s="41">
        <f t="shared" si="1"/>
        <v>1.0000000000000009E-2</v>
      </c>
      <c r="I7" s="41">
        <f t="shared" si="1"/>
        <v>1.0000000000000009E-2</v>
      </c>
      <c r="J7" s="41">
        <f t="shared" si="1"/>
        <v>1.4999999999999902E-2</v>
      </c>
      <c r="K7" s="35"/>
      <c r="L7" s="35"/>
      <c r="M7" s="35"/>
    </row>
    <row r="8" spans="1:13" ht="14.25" customHeight="1" x14ac:dyDescent="0.2">
      <c r="A8" s="36"/>
      <c r="B8" s="35"/>
      <c r="C8" s="37"/>
      <c r="D8" s="40"/>
      <c r="E8" s="40"/>
      <c r="F8" s="34"/>
      <c r="G8" s="34"/>
      <c r="H8" s="34"/>
      <c r="I8" s="34"/>
      <c r="J8" s="34"/>
      <c r="K8" s="35"/>
      <c r="L8" s="35"/>
      <c r="M8" s="35"/>
    </row>
    <row r="9" spans="1:13" ht="14.25" customHeight="1" x14ac:dyDescent="0.2">
      <c r="A9" s="14" t="s">
        <v>135</v>
      </c>
      <c r="B9" s="33" t="s">
        <v>132</v>
      </c>
      <c r="C9" s="13">
        <v>2891</v>
      </c>
      <c r="D9" s="13">
        <v>2768</v>
      </c>
      <c r="E9" s="13">
        <v>2817</v>
      </c>
      <c r="F9" s="34">
        <f>E9*(1+INPUTS!F74)</f>
        <v>2867.7060000000001</v>
      </c>
      <c r="G9" s="34">
        <f>F9*(1+INPUTS!G74)</f>
        <v>2925.0601200000001</v>
      </c>
      <c r="H9" s="34">
        <f>G9*(1+INPUTS!H74)</f>
        <v>2983.5613224000003</v>
      </c>
      <c r="I9" s="34">
        <f>H9*(1+INPUTS!I74)</f>
        <v>3058.1503554599999</v>
      </c>
      <c r="J9" s="34">
        <f>I9*(1+INPUTS!J74)</f>
        <v>3134.6041143464995</v>
      </c>
      <c r="K9" s="35"/>
      <c r="L9" s="35"/>
      <c r="M9" s="35"/>
    </row>
    <row r="10" spans="1:13" ht="14.25" customHeight="1" x14ac:dyDescent="0.2">
      <c r="A10" s="36" t="s">
        <v>133</v>
      </c>
      <c r="B10" s="35"/>
      <c r="C10" s="37"/>
      <c r="D10" s="38">
        <f t="shared" ref="D10:J10" si="2">D9/C9-1</f>
        <v>-4.2545831892078834E-2</v>
      </c>
      <c r="E10" s="38">
        <f t="shared" si="2"/>
        <v>1.7702312138728304E-2</v>
      </c>
      <c r="F10" s="41">
        <f t="shared" si="2"/>
        <v>1.8000000000000016E-2</v>
      </c>
      <c r="G10" s="41">
        <f t="shared" si="2"/>
        <v>2.0000000000000018E-2</v>
      </c>
      <c r="H10" s="41">
        <f t="shared" si="2"/>
        <v>2.0000000000000018E-2</v>
      </c>
      <c r="I10" s="41">
        <f t="shared" si="2"/>
        <v>2.4999999999999911E-2</v>
      </c>
      <c r="J10" s="41">
        <f t="shared" si="2"/>
        <v>2.4999999999999911E-2</v>
      </c>
      <c r="K10" s="35"/>
      <c r="L10" s="35"/>
      <c r="M10" s="35"/>
    </row>
    <row r="11" spans="1:13" ht="14.25" customHeight="1" x14ac:dyDescent="0.2">
      <c r="A11" s="36"/>
      <c r="B11" s="35"/>
      <c r="C11" s="37"/>
      <c r="D11" s="40"/>
      <c r="E11" s="40"/>
      <c r="F11" s="34"/>
      <c r="G11" s="34"/>
      <c r="H11" s="34"/>
      <c r="I11" s="34"/>
      <c r="J11" s="34"/>
      <c r="K11" s="35"/>
      <c r="L11" s="35"/>
      <c r="M11" s="35"/>
    </row>
    <row r="12" spans="1:13" ht="14.25" customHeight="1" x14ac:dyDescent="0.2">
      <c r="A12" s="14" t="s">
        <v>136</v>
      </c>
      <c r="B12" s="33" t="s">
        <v>137</v>
      </c>
      <c r="C12" s="15">
        <f t="shared" ref="C12:J12" si="3">C3+C6+C9</f>
        <v>26640</v>
      </c>
      <c r="D12" s="15">
        <f t="shared" si="3"/>
        <v>25846</v>
      </c>
      <c r="E12" s="15">
        <f t="shared" si="3"/>
        <v>24942</v>
      </c>
      <c r="F12" s="15">
        <f t="shared" si="3"/>
        <v>24438.665000000001</v>
      </c>
      <c r="G12" s="15">
        <f t="shared" si="3"/>
        <v>24153.163414999995</v>
      </c>
      <c r="H12" s="15">
        <f t="shared" si="3"/>
        <v>24247.267134349997</v>
      </c>
      <c r="I12" s="15">
        <f t="shared" si="3"/>
        <v>24534.493225529495</v>
      </c>
      <c r="J12" s="15">
        <f t="shared" si="3"/>
        <v>24933.092127467036</v>
      </c>
      <c r="K12" s="35"/>
      <c r="L12" s="35"/>
      <c r="M12" s="35"/>
    </row>
    <row r="13" spans="1:13" ht="14.25" customHeight="1" x14ac:dyDescent="0.2">
      <c r="A13" s="36" t="s">
        <v>138</v>
      </c>
      <c r="B13" s="35"/>
      <c r="C13" s="37"/>
      <c r="D13" s="38">
        <f t="shared" ref="D13:J13" si="4">D12/C12-1</f>
        <v>-2.9804804804804852E-2</v>
      </c>
      <c r="E13" s="38">
        <f t="shared" si="4"/>
        <v>-3.4976398669039677E-2</v>
      </c>
      <c r="F13" s="38">
        <f t="shared" si="4"/>
        <v>-2.0180218106005898E-2</v>
      </c>
      <c r="G13" s="38">
        <f t="shared" si="4"/>
        <v>-1.1682372379997252E-2</v>
      </c>
      <c r="H13" s="38">
        <f t="shared" si="4"/>
        <v>3.8961239872852271E-3</v>
      </c>
      <c r="I13" s="38">
        <f t="shared" si="4"/>
        <v>1.1845709852084552E-2</v>
      </c>
      <c r="J13" s="38">
        <f t="shared" si="4"/>
        <v>1.624646974663313E-2</v>
      </c>
      <c r="K13" s="35"/>
      <c r="L13" s="35"/>
      <c r="M13" s="35"/>
    </row>
    <row r="14" spans="1:13" ht="14.25" customHeight="1" x14ac:dyDescent="0.2">
      <c r="A14" s="35"/>
      <c r="B14" s="35"/>
      <c r="C14" s="35"/>
      <c r="D14" s="35"/>
      <c r="E14" s="35"/>
      <c r="F14" s="42"/>
      <c r="G14" s="42"/>
      <c r="H14" s="42"/>
      <c r="I14" s="42"/>
      <c r="J14" s="42"/>
      <c r="K14" s="35"/>
      <c r="L14" s="35"/>
      <c r="M14" s="35"/>
    </row>
    <row r="15" spans="1:13" ht="14.25" customHeight="1" x14ac:dyDescent="0.2">
      <c r="A15" s="35"/>
      <c r="B15" s="35"/>
      <c r="C15" s="35"/>
      <c r="D15" s="35"/>
      <c r="E15" s="35"/>
      <c r="F15" s="42"/>
      <c r="G15" s="42"/>
      <c r="H15" s="42"/>
      <c r="I15" s="42"/>
      <c r="J15" s="42"/>
      <c r="K15" s="35"/>
      <c r="L15" s="35"/>
      <c r="M15" s="35"/>
    </row>
    <row r="16" spans="1:13" ht="14.25" customHeight="1" x14ac:dyDescent="0.2">
      <c r="A16" s="35"/>
      <c r="B16" s="35"/>
      <c r="C16" s="35"/>
      <c r="D16" s="35"/>
      <c r="E16" s="35"/>
      <c r="F16" s="42"/>
      <c r="G16" s="42"/>
      <c r="H16" s="42"/>
      <c r="I16" s="42"/>
      <c r="J16" s="42"/>
      <c r="K16" s="35"/>
      <c r="L16" s="35"/>
      <c r="M16" s="35"/>
    </row>
    <row r="17" spans="1:13" ht="14.25" customHeight="1" x14ac:dyDescent="0.2">
      <c r="A17" s="35"/>
      <c r="B17" s="35"/>
      <c r="C17" s="35"/>
      <c r="D17" s="35"/>
      <c r="E17" s="35"/>
      <c r="F17" s="42"/>
      <c r="G17" s="42"/>
      <c r="H17" s="42"/>
      <c r="I17" s="42"/>
      <c r="J17" s="42"/>
      <c r="K17" s="35"/>
      <c r="L17" s="35"/>
      <c r="M17" s="35"/>
    </row>
    <row r="18" spans="1:13" ht="14.25" customHeight="1" x14ac:dyDescent="0.2">
      <c r="A18" s="35"/>
      <c r="B18" s="35"/>
      <c r="C18" s="35"/>
      <c r="D18" s="35"/>
      <c r="E18" s="35"/>
      <c r="F18" s="42"/>
      <c r="G18" s="42"/>
      <c r="H18" s="42"/>
      <c r="I18" s="42"/>
      <c r="J18" s="42"/>
      <c r="K18" s="35"/>
      <c r="L18" s="35"/>
      <c r="M18" s="35"/>
    </row>
  </sheetData>
  <mergeCells count="1">
    <mergeCell ref="A1:J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showGridLines="0" zoomScaleNormal="100" workbookViewId="0">
      <selection activeCell="R27" sqref="R27"/>
    </sheetView>
  </sheetViews>
  <sheetFormatPr baseColWidth="10" defaultColWidth="8.7109375" defaultRowHeight="15" x14ac:dyDescent="0.25"/>
  <cols>
    <col min="1" max="1" width="32.140625" style="43" customWidth="1"/>
    <col min="2" max="2" width="13.140625" style="43" customWidth="1"/>
    <col min="3" max="4" width="12" style="43" customWidth="1"/>
    <col min="5" max="5" width="18.42578125" style="43" customWidth="1"/>
    <col min="6" max="6" width="16.140625" style="43" customWidth="1"/>
    <col min="7" max="7" width="12.7109375" style="43" customWidth="1"/>
    <col min="8" max="10" width="12" style="43" customWidth="1"/>
    <col min="11" max="11" width="8.7109375" style="43" customWidth="1"/>
    <col min="12" max="16384" width="8.7109375" style="43"/>
  </cols>
  <sheetData>
    <row r="1" spans="1:10" ht="21.75" customHeight="1" x14ac:dyDescent="0.25">
      <c r="A1" s="92" t="s">
        <v>139</v>
      </c>
      <c r="B1" s="90"/>
      <c r="C1" s="90"/>
      <c r="D1" s="90"/>
      <c r="E1" s="90"/>
      <c r="F1" s="90"/>
      <c r="G1" s="90"/>
      <c r="H1" s="90"/>
      <c r="I1" s="90"/>
      <c r="J1" s="87"/>
    </row>
    <row r="2" spans="1:10" ht="15.75" customHeight="1" x14ac:dyDescent="0.25">
      <c r="C2" s="10" t="s">
        <v>1</v>
      </c>
      <c r="D2" s="10" t="s">
        <v>2</v>
      </c>
      <c r="E2" s="10" t="s">
        <v>3</v>
      </c>
      <c r="F2" s="24" t="s">
        <v>4</v>
      </c>
      <c r="G2" s="24" t="s">
        <v>5</v>
      </c>
      <c r="H2" s="24" t="s">
        <v>6</v>
      </c>
      <c r="I2" s="24" t="s">
        <v>7</v>
      </c>
      <c r="J2" s="24" t="s">
        <v>8</v>
      </c>
    </row>
    <row r="3" spans="1:10" ht="15.75" customHeight="1" x14ac:dyDescent="0.25">
      <c r="A3" s="44" t="s">
        <v>140</v>
      </c>
      <c r="C3" s="45">
        <f>REVENUE!C12</f>
        <v>26640</v>
      </c>
      <c r="D3" s="45">
        <f>REVENUE!D12</f>
        <v>25846</v>
      </c>
      <c r="E3" s="45">
        <f>REVENUE!E12</f>
        <v>24942</v>
      </c>
      <c r="F3" s="45">
        <f>REVENUE!F12</f>
        <v>24438.665000000001</v>
      </c>
      <c r="G3" s="45">
        <f>REVENUE!G12</f>
        <v>24153.163414999995</v>
      </c>
      <c r="H3" s="45">
        <f>REVENUE!H12</f>
        <v>24247.267134349997</v>
      </c>
      <c r="I3" s="45">
        <f>REVENUE!I12</f>
        <v>24534.493225529495</v>
      </c>
      <c r="J3" s="45">
        <f>REVENUE!J12</f>
        <v>24933.092127467036</v>
      </c>
    </row>
    <row r="5" spans="1:10" ht="15.75" customHeight="1" x14ac:dyDescent="0.25">
      <c r="A5" s="89" t="s">
        <v>141</v>
      </c>
      <c r="B5" s="90"/>
      <c r="C5" s="90"/>
      <c r="D5" s="90"/>
      <c r="E5" s="90"/>
      <c r="F5" s="90"/>
      <c r="G5" s="90"/>
      <c r="H5" s="90"/>
      <c r="I5" s="90"/>
      <c r="J5" s="87"/>
    </row>
    <row r="6" spans="1:10" ht="13.5" customHeight="1" x14ac:dyDescent="0.25">
      <c r="A6" s="46" t="s">
        <v>113</v>
      </c>
      <c r="B6" s="33" t="s">
        <v>142</v>
      </c>
      <c r="C6" s="47">
        <v>0.66493993993994005</v>
      </c>
      <c r="D6" s="47">
        <v>0.65302174417704895</v>
      </c>
      <c r="E6" s="47">
        <v>0.66686713174565004</v>
      </c>
      <c r="F6" s="48">
        <f>INPUTS!F76</f>
        <v>0.66700000000000004</v>
      </c>
      <c r="G6" s="48">
        <f>INPUTS!G76</f>
        <v>0.66500000000000004</v>
      </c>
      <c r="H6" s="48">
        <f>INPUTS!H76</f>
        <v>0.66</v>
      </c>
      <c r="I6" s="48">
        <f>INPUTS!I76</f>
        <v>0.65800000000000003</v>
      </c>
      <c r="J6" s="48">
        <f>INPUTS!J76</f>
        <v>0.65500000000000003</v>
      </c>
    </row>
    <row r="7" spans="1:10" ht="15.75" customHeight="1" x14ac:dyDescent="0.25">
      <c r="A7" s="44" t="s">
        <v>143</v>
      </c>
      <c r="B7" s="33" t="s">
        <v>144</v>
      </c>
      <c r="C7" s="15">
        <f t="shared" ref="C7:J7" si="0">C3*C6</f>
        <v>17714.000000000004</v>
      </c>
      <c r="D7" s="15">
        <f t="shared" si="0"/>
        <v>16878.000000000007</v>
      </c>
      <c r="E7" s="15">
        <f t="shared" si="0"/>
        <v>16633.000000000004</v>
      </c>
      <c r="F7" s="15">
        <f t="shared" si="0"/>
        <v>16300.589555000002</v>
      </c>
      <c r="G7" s="15">
        <f t="shared" si="0"/>
        <v>16061.853670974997</v>
      </c>
      <c r="H7" s="15">
        <f t="shared" si="0"/>
        <v>16003.196308670998</v>
      </c>
      <c r="I7" s="15">
        <f t="shared" si="0"/>
        <v>16143.696542398409</v>
      </c>
      <c r="J7" s="15">
        <f t="shared" si="0"/>
        <v>16331.17534349091</v>
      </c>
    </row>
    <row r="8" spans="1:10" s="51" customFormat="1" ht="15.75" customHeight="1" x14ac:dyDescent="0.25">
      <c r="A8" s="49"/>
      <c r="B8" s="50"/>
      <c r="C8" s="16"/>
      <c r="D8" s="16"/>
      <c r="E8" s="16"/>
      <c r="F8" s="16"/>
      <c r="G8" s="16"/>
      <c r="H8" s="16"/>
      <c r="I8" s="16"/>
      <c r="J8" s="16"/>
    </row>
    <row r="9" spans="1:10" ht="15.75" customHeight="1" x14ac:dyDescent="0.25">
      <c r="A9" s="44" t="s">
        <v>145</v>
      </c>
      <c r="C9" s="15">
        <f t="shared" ref="C9:J9" si="1">C3-C7</f>
        <v>8925.9999999999964</v>
      </c>
      <c r="D9" s="15">
        <f t="shared" si="1"/>
        <v>8967.9999999999927</v>
      </c>
      <c r="E9" s="15">
        <f t="shared" si="1"/>
        <v>8308.9999999999964</v>
      </c>
      <c r="F9" s="15">
        <f t="shared" si="1"/>
        <v>8138.0754449999986</v>
      </c>
      <c r="G9" s="15">
        <f t="shared" si="1"/>
        <v>8091.3097440249985</v>
      </c>
      <c r="H9" s="15">
        <f t="shared" si="1"/>
        <v>8244.0708256789985</v>
      </c>
      <c r="I9" s="15">
        <f t="shared" si="1"/>
        <v>8390.796683131086</v>
      </c>
      <c r="J9" s="15">
        <f t="shared" si="1"/>
        <v>8601.9167839761267</v>
      </c>
    </row>
    <row r="10" spans="1:10" ht="13.5" customHeight="1" x14ac:dyDescent="0.25">
      <c r="A10" s="36" t="s">
        <v>146</v>
      </c>
      <c r="C10" s="38">
        <f t="shared" ref="C10:J10" si="2">IFERROR(C9/C3,0)</f>
        <v>0.33506006006005995</v>
      </c>
      <c r="D10" s="38">
        <f t="shared" si="2"/>
        <v>0.34697825582295105</v>
      </c>
      <c r="E10" s="38">
        <f t="shared" si="2"/>
        <v>0.33313286825434996</v>
      </c>
      <c r="F10" s="38">
        <f t="shared" si="2"/>
        <v>0.33299999999999991</v>
      </c>
      <c r="G10" s="38">
        <f t="shared" si="2"/>
        <v>0.33500000000000002</v>
      </c>
      <c r="H10" s="38">
        <f t="shared" si="2"/>
        <v>0.33999999999999997</v>
      </c>
      <c r="I10" s="38">
        <f t="shared" si="2"/>
        <v>0.34199999999999992</v>
      </c>
      <c r="J10" s="38">
        <f t="shared" si="2"/>
        <v>0.34499999999999997</v>
      </c>
    </row>
    <row r="12" spans="1:10" ht="15.75" customHeight="1" x14ac:dyDescent="0.25">
      <c r="A12" s="89" t="s">
        <v>147</v>
      </c>
      <c r="B12" s="90"/>
      <c r="C12" s="90"/>
      <c r="D12" s="90"/>
      <c r="E12" s="90"/>
      <c r="F12" s="90"/>
      <c r="G12" s="90"/>
      <c r="H12" s="90"/>
      <c r="I12" s="90"/>
      <c r="J12" s="87"/>
    </row>
    <row r="13" spans="1:10" ht="13.5" customHeight="1" x14ac:dyDescent="0.25">
      <c r="A13" s="46" t="s">
        <v>148</v>
      </c>
      <c r="B13" s="33" t="s">
        <v>142</v>
      </c>
      <c r="C13" s="47">
        <v>0.138588588588589</v>
      </c>
      <c r="D13" s="47">
        <v>0.13990559467615901</v>
      </c>
      <c r="E13" s="47">
        <v>0.14722155400529199</v>
      </c>
      <c r="F13" s="48">
        <f>INPUTS!F77</f>
        <v>0.14699999999999999</v>
      </c>
      <c r="G13" s="48">
        <f>INPUTS!G77</f>
        <v>0.14499999999999999</v>
      </c>
      <c r="H13" s="48">
        <f>INPUTS!H77</f>
        <v>0.14299999999999999</v>
      </c>
      <c r="I13" s="48">
        <f>INPUTS!I77</f>
        <v>0.14199999999999999</v>
      </c>
      <c r="J13" s="48">
        <f>INPUTS!J77</f>
        <v>0.14000000000000001</v>
      </c>
    </row>
    <row r="14" spans="1:10" ht="15.75" customHeight="1" x14ac:dyDescent="0.25">
      <c r="A14" s="44" t="s">
        <v>149</v>
      </c>
      <c r="C14" s="52">
        <f t="shared" ref="C14:J14" si="3">C3*C13</f>
        <v>3692.0000000000109</v>
      </c>
      <c r="D14" s="52">
        <f t="shared" si="3"/>
        <v>3616.0000000000059</v>
      </c>
      <c r="E14" s="52">
        <f t="shared" si="3"/>
        <v>3671.9999999999927</v>
      </c>
      <c r="F14" s="52">
        <f t="shared" si="3"/>
        <v>3592.4837549999997</v>
      </c>
      <c r="G14" s="52">
        <f t="shared" si="3"/>
        <v>3502.2086951749993</v>
      </c>
      <c r="H14" s="52">
        <f t="shared" si="3"/>
        <v>3467.3592002120495</v>
      </c>
      <c r="I14" s="52">
        <f t="shared" si="3"/>
        <v>3483.8980380251878</v>
      </c>
      <c r="J14" s="52">
        <f t="shared" si="3"/>
        <v>3490.6328978453853</v>
      </c>
    </row>
    <row r="15" spans="1:10" ht="13.5" customHeight="1" x14ac:dyDescent="0.25">
      <c r="A15" s="46" t="s">
        <v>150</v>
      </c>
      <c r="C15" s="13">
        <v>510</v>
      </c>
      <c r="D15" s="13">
        <v>1638</v>
      </c>
      <c r="E15" s="13">
        <v>6734</v>
      </c>
      <c r="F15" s="53">
        <f>INPUTS!F78</f>
        <v>0</v>
      </c>
      <c r="G15" s="53">
        <f>INPUTS!G78</f>
        <v>0</v>
      </c>
      <c r="H15" s="53">
        <f>INPUTS!H78</f>
        <v>0</v>
      </c>
      <c r="I15" s="53">
        <f>INPUTS!I78</f>
        <v>0</v>
      </c>
      <c r="J15" s="53">
        <f>INPUTS!J78</f>
        <v>0</v>
      </c>
    </row>
    <row r="16" spans="1:10" ht="13.5" customHeight="1" x14ac:dyDescent="0.25">
      <c r="A16" s="46" t="s">
        <v>151</v>
      </c>
      <c r="C16" s="13">
        <v>152</v>
      </c>
      <c r="D16" s="13">
        <v>2031</v>
      </c>
      <c r="E16" s="13">
        <v>2572</v>
      </c>
      <c r="F16" s="53">
        <f>INPUTS!F79</f>
        <v>0</v>
      </c>
      <c r="G16" s="53">
        <f>INPUTS!G79</f>
        <v>0</v>
      </c>
      <c r="H16" s="53">
        <f>INPUTS!H79</f>
        <v>0</v>
      </c>
      <c r="I16" s="53">
        <f>INPUTS!I79</f>
        <v>0</v>
      </c>
      <c r="J16" s="53">
        <f>INPUTS!J79</f>
        <v>0</v>
      </c>
    </row>
    <row r="17" spans="1:10" ht="15.75" customHeight="1" x14ac:dyDescent="0.25">
      <c r="A17" s="44" t="s">
        <v>152</v>
      </c>
      <c r="C17" s="15">
        <f>C14+C15+C16</f>
        <v>4354.0000000000109</v>
      </c>
      <c r="D17" s="15">
        <f>D14+D15+D16</f>
        <v>7285.0000000000055</v>
      </c>
      <c r="E17" s="15">
        <f>E14+E15+E16</f>
        <v>12977.999999999993</v>
      </c>
      <c r="F17" s="54">
        <f>COGS_OPEX!F14+COGS_OPEX!F15+COGS_OPEX!F16</f>
        <v>3592.4837549999997</v>
      </c>
      <c r="G17" s="54">
        <f>COGS_OPEX!G14+COGS_OPEX!G15+COGS_OPEX!G16</f>
        <v>3502.2086951749993</v>
      </c>
      <c r="H17" s="54">
        <f>COGS_OPEX!H14+COGS_OPEX!H15+COGS_OPEX!H16</f>
        <v>3467.3592002120495</v>
      </c>
      <c r="I17" s="54">
        <f>COGS_OPEX!I14+COGS_OPEX!I15+COGS_OPEX!I16</f>
        <v>3483.8980380251878</v>
      </c>
      <c r="J17" s="54">
        <f>COGS_OPEX!J14+COGS_OPEX!J15+COGS_OPEX!J16</f>
        <v>3490.6328978453853</v>
      </c>
    </row>
    <row r="19" spans="1:10" ht="15.75" customHeight="1" x14ac:dyDescent="0.25">
      <c r="A19" s="89" t="s">
        <v>153</v>
      </c>
      <c r="B19" s="90"/>
      <c r="C19" s="90"/>
      <c r="D19" s="90"/>
      <c r="E19" s="90"/>
      <c r="F19" s="90"/>
      <c r="G19" s="90"/>
      <c r="H19" s="90"/>
      <c r="I19" s="90"/>
      <c r="J19" s="87"/>
    </row>
    <row r="20" spans="1:10" ht="15.75" customHeight="1" x14ac:dyDescent="0.25">
      <c r="A20" s="44" t="s">
        <v>154</v>
      </c>
      <c r="C20" s="15">
        <f>C9-C17</f>
        <v>4571.9999999999854</v>
      </c>
      <c r="D20" s="15">
        <f>D9-D17</f>
        <v>1682.9999999999873</v>
      </c>
      <c r="E20" s="15">
        <f>E9-E17</f>
        <v>-4668.9999999999964</v>
      </c>
      <c r="F20" s="54">
        <f>COGS_OPEX!F9-COGS_OPEX!F17</f>
        <v>4545.5916899999993</v>
      </c>
      <c r="G20" s="54">
        <f>COGS_OPEX!G9-COGS_OPEX!G17</f>
        <v>4589.1010488499996</v>
      </c>
      <c r="H20" s="54">
        <f>COGS_OPEX!H9-COGS_OPEX!H17</f>
        <v>4776.711625466949</v>
      </c>
      <c r="I20" s="54">
        <f>COGS_OPEX!I9-COGS_OPEX!I17</f>
        <v>4906.8986451058981</v>
      </c>
      <c r="J20" s="54">
        <f>COGS_OPEX!J9-COGS_OPEX!J17</f>
        <v>5111.2838861307409</v>
      </c>
    </row>
    <row r="21" spans="1:10" ht="13.5" customHeight="1" x14ac:dyDescent="0.25">
      <c r="A21" s="36" t="s">
        <v>155</v>
      </c>
      <c r="C21" s="38">
        <f t="shared" ref="C21:J21" si="4">IFERROR(C20/C3,0)</f>
        <v>0.17162162162162106</v>
      </c>
      <c r="D21" s="38">
        <f t="shared" si="4"/>
        <v>6.5116459026541326E-2</v>
      </c>
      <c r="E21" s="38">
        <f t="shared" si="4"/>
        <v>-0.18719429075455041</v>
      </c>
      <c r="F21" s="38">
        <f t="shared" si="4"/>
        <v>0.18599999999999997</v>
      </c>
      <c r="G21" s="38">
        <f t="shared" si="4"/>
        <v>0.19000000000000003</v>
      </c>
      <c r="H21" s="38">
        <f t="shared" si="4"/>
        <v>0.19699999999999998</v>
      </c>
      <c r="I21" s="38">
        <f t="shared" si="4"/>
        <v>0.19999999999999996</v>
      </c>
      <c r="J21" s="38">
        <f t="shared" si="4"/>
        <v>0.20499999999999993</v>
      </c>
    </row>
  </sheetData>
  <mergeCells count="4">
    <mergeCell ref="A12:J12"/>
    <mergeCell ref="A1:J1"/>
    <mergeCell ref="A19:J19"/>
    <mergeCell ref="A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"/>
  <sheetViews>
    <sheetView zoomScaleNormal="100" workbookViewId="0">
      <selection activeCell="I31" sqref="I31"/>
    </sheetView>
  </sheetViews>
  <sheetFormatPr baseColWidth="10" defaultColWidth="11.42578125" defaultRowHeight="15" x14ac:dyDescent="0.25"/>
  <cols>
    <col min="1" max="1" width="32.85546875" style="1" customWidth="1"/>
    <col min="2" max="2" width="21.140625" style="1" customWidth="1"/>
    <col min="3" max="4" width="11.42578125" style="1" customWidth="1"/>
    <col min="5" max="5" width="15.5703125" style="1" customWidth="1"/>
    <col min="6" max="6" width="11.42578125" style="1" customWidth="1"/>
    <col min="7" max="16384" width="11.42578125" style="1"/>
  </cols>
  <sheetData>
    <row r="1" spans="1:10" ht="15" customHeight="1" x14ac:dyDescent="0.25">
      <c r="A1" s="92" t="s">
        <v>156</v>
      </c>
      <c r="B1" s="90"/>
      <c r="C1" s="90"/>
      <c r="D1" s="90"/>
      <c r="E1" s="90"/>
      <c r="F1" s="90"/>
      <c r="G1" s="90"/>
      <c r="H1" s="90"/>
      <c r="I1" s="90"/>
      <c r="J1" s="87"/>
    </row>
    <row r="2" spans="1:10" ht="15" customHeight="1" x14ac:dyDescent="0.25">
      <c r="A2" s="93" t="s">
        <v>157</v>
      </c>
      <c r="B2" s="90"/>
      <c r="C2" s="90"/>
      <c r="D2" s="90"/>
      <c r="E2" s="90"/>
      <c r="F2" s="90"/>
      <c r="G2" s="90"/>
      <c r="H2" s="90"/>
      <c r="I2" s="90"/>
      <c r="J2" s="87"/>
    </row>
    <row r="3" spans="1:10" ht="15" customHeight="1" x14ac:dyDescent="0.25">
      <c r="C3" s="10" t="s">
        <v>1</v>
      </c>
      <c r="D3" s="10" t="s">
        <v>2</v>
      </c>
      <c r="E3" s="10" t="s">
        <v>3</v>
      </c>
      <c r="F3" s="24" t="s">
        <v>4</v>
      </c>
      <c r="G3" s="24" t="s">
        <v>5</v>
      </c>
      <c r="H3" s="24" t="s">
        <v>6</v>
      </c>
      <c r="I3" s="24" t="s">
        <v>7</v>
      </c>
      <c r="J3" s="24" t="s">
        <v>8</v>
      </c>
    </row>
    <row r="4" spans="1:10" ht="15" customHeight="1" x14ac:dyDescent="0.25">
      <c r="A4" s="55" t="s">
        <v>140</v>
      </c>
      <c r="B4" s="33" t="s">
        <v>158</v>
      </c>
      <c r="C4" s="56">
        <f>REVENUE!C12</f>
        <v>26640</v>
      </c>
      <c r="D4" s="56">
        <f>REVENUE!D12</f>
        <v>25846</v>
      </c>
      <c r="E4" s="56">
        <f>REVENUE!E12</f>
        <v>24942</v>
      </c>
      <c r="F4" s="56">
        <f>REVENUE!F12</f>
        <v>24438.665000000001</v>
      </c>
      <c r="G4" s="56">
        <f>REVENUE!G12</f>
        <v>24153.163414999995</v>
      </c>
      <c r="H4" s="56">
        <f>REVENUE!H12</f>
        <v>24247.267134349997</v>
      </c>
      <c r="I4" s="56">
        <f>REVENUE!I12</f>
        <v>24534.493225529495</v>
      </c>
      <c r="J4" s="56">
        <f>REVENUE!J12</f>
        <v>24933.092127467036</v>
      </c>
    </row>
    <row r="5" spans="1:10" ht="15" customHeight="1" x14ac:dyDescent="0.25">
      <c r="A5" s="55" t="s">
        <v>159</v>
      </c>
      <c r="B5" s="33" t="s">
        <v>160</v>
      </c>
      <c r="C5" s="56">
        <f>COGS_OPEX!C7</f>
        <v>17714.000000000004</v>
      </c>
      <c r="D5" s="56">
        <f>COGS_OPEX!D7</f>
        <v>16878.000000000007</v>
      </c>
      <c r="E5" s="56">
        <f>COGS_OPEX!E7</f>
        <v>16633.000000000004</v>
      </c>
      <c r="F5" s="56">
        <f>COGS_OPEX!F7</f>
        <v>16300.589555000002</v>
      </c>
      <c r="G5" s="56">
        <f>COGS_OPEX!G7</f>
        <v>16061.853670974997</v>
      </c>
      <c r="H5" s="56">
        <f>COGS_OPEX!H7</f>
        <v>16003.196308670998</v>
      </c>
      <c r="I5" s="56">
        <f>COGS_OPEX!I7</f>
        <v>16143.696542398409</v>
      </c>
      <c r="J5" s="56">
        <f>COGS_OPEX!J7</f>
        <v>16331.17534349091</v>
      </c>
    </row>
    <row r="7" spans="1:10" ht="15" customHeight="1" x14ac:dyDescent="0.25">
      <c r="A7" s="89" t="s">
        <v>161</v>
      </c>
      <c r="B7" s="90"/>
      <c r="C7" s="90"/>
      <c r="D7" s="90"/>
      <c r="E7" s="90"/>
      <c r="F7" s="90"/>
      <c r="G7" s="90"/>
      <c r="H7" s="90"/>
      <c r="I7" s="90"/>
      <c r="J7" s="87"/>
    </row>
    <row r="8" spans="1:10" ht="15" customHeight="1" x14ac:dyDescent="0.25">
      <c r="A8" s="46" t="s">
        <v>162</v>
      </c>
      <c r="B8" s="33" t="s">
        <v>163</v>
      </c>
      <c r="C8" s="57">
        <v>30.3</v>
      </c>
      <c r="D8" s="57">
        <v>30.3</v>
      </c>
      <c r="E8" s="57">
        <v>33</v>
      </c>
      <c r="F8" s="58">
        <f>INPUTS!F82</f>
        <v>30</v>
      </c>
      <c r="G8" s="58">
        <f>INPUTS!G82</f>
        <v>30</v>
      </c>
      <c r="H8" s="58">
        <f>INPUTS!H82</f>
        <v>30</v>
      </c>
      <c r="I8" s="58">
        <f>INPUTS!I82</f>
        <v>30</v>
      </c>
      <c r="J8" s="58">
        <f>INPUTS!J82</f>
        <v>30</v>
      </c>
    </row>
    <row r="9" spans="1:10" ht="15" customHeight="1" x14ac:dyDescent="0.25">
      <c r="A9" s="46" t="s">
        <v>164</v>
      </c>
      <c r="B9" s="33" t="s">
        <v>163</v>
      </c>
      <c r="C9" s="57">
        <v>74.5</v>
      </c>
      <c r="D9" s="57">
        <v>73</v>
      </c>
      <c r="E9" s="57">
        <v>69.5</v>
      </c>
      <c r="F9" s="58">
        <f>INPUTS!F83</f>
        <v>69</v>
      </c>
      <c r="G9" s="58">
        <f>INPUTS!G83</f>
        <v>68</v>
      </c>
      <c r="H9" s="58">
        <f>INPUTS!H83</f>
        <v>67</v>
      </c>
      <c r="I9" s="58">
        <f>INPUTS!I83</f>
        <v>66</v>
      </c>
      <c r="J9" s="58">
        <f>INPUTS!J83</f>
        <v>65</v>
      </c>
    </row>
    <row r="10" spans="1:10" ht="15" customHeight="1" x14ac:dyDescent="0.25">
      <c r="A10" s="46" t="s">
        <v>165</v>
      </c>
      <c r="B10" s="33" t="s">
        <v>163</v>
      </c>
      <c r="C10" s="57">
        <v>92.7</v>
      </c>
      <c r="D10" s="57">
        <v>90.5</v>
      </c>
      <c r="E10" s="57">
        <v>94.6</v>
      </c>
      <c r="F10" s="58">
        <f>INPUTS!F84</f>
        <v>95</v>
      </c>
      <c r="G10" s="58">
        <f>INPUTS!G84</f>
        <v>95</v>
      </c>
      <c r="H10" s="58">
        <f>INPUTS!H84</f>
        <v>95</v>
      </c>
      <c r="I10" s="58">
        <f>INPUTS!I84</f>
        <v>95</v>
      </c>
      <c r="J10" s="58">
        <f>INPUTS!J84</f>
        <v>95</v>
      </c>
    </row>
    <row r="12" spans="1:10" ht="15" customHeight="1" x14ac:dyDescent="0.25">
      <c r="A12" s="89" t="s">
        <v>166</v>
      </c>
      <c r="B12" s="90"/>
      <c r="C12" s="90"/>
      <c r="D12" s="90"/>
      <c r="E12" s="90"/>
      <c r="F12" s="90"/>
      <c r="G12" s="90"/>
      <c r="H12" s="90"/>
      <c r="I12" s="90"/>
      <c r="J12" s="87"/>
    </row>
    <row r="13" spans="1:10" ht="15" customHeight="1" x14ac:dyDescent="0.25">
      <c r="A13" s="44" t="s">
        <v>167</v>
      </c>
      <c r="B13" s="33" t="s">
        <v>168</v>
      </c>
      <c r="C13" s="59">
        <v>2112</v>
      </c>
      <c r="D13" s="59">
        <v>2147</v>
      </c>
      <c r="E13" s="59">
        <v>2254</v>
      </c>
      <c r="F13" s="60">
        <f t="shared" ref="F13:J14" si="0">F8/365*F4</f>
        <v>2008.6573972602739</v>
      </c>
      <c r="G13" s="60">
        <f t="shared" si="0"/>
        <v>1985.1915135616434</v>
      </c>
      <c r="H13" s="60">
        <f t="shared" si="0"/>
        <v>1992.926065836986</v>
      </c>
      <c r="I13" s="60">
        <f t="shared" si="0"/>
        <v>2016.5336897695474</v>
      </c>
      <c r="J13" s="60">
        <f t="shared" si="0"/>
        <v>2049.2952433534551</v>
      </c>
    </row>
    <row r="14" spans="1:10" ht="15" customHeight="1" x14ac:dyDescent="0.25">
      <c r="A14" s="44" t="s">
        <v>73</v>
      </c>
      <c r="B14" s="33" t="s">
        <v>169</v>
      </c>
      <c r="C14" s="59">
        <v>3614</v>
      </c>
      <c r="D14" s="59">
        <v>3376</v>
      </c>
      <c r="E14" s="59">
        <v>3167</v>
      </c>
      <c r="F14" s="60">
        <f t="shared" si="0"/>
        <v>3081.481313136987</v>
      </c>
      <c r="G14" s="60">
        <f t="shared" si="0"/>
        <v>2992.3453414419173</v>
      </c>
      <c r="H14" s="60">
        <f t="shared" si="0"/>
        <v>2937.5730210437173</v>
      </c>
      <c r="I14" s="60">
        <f t="shared" si="0"/>
        <v>2919.1341693103973</v>
      </c>
      <c r="J14" s="60">
        <f t="shared" si="0"/>
        <v>2908.2914995257784</v>
      </c>
    </row>
    <row r="15" spans="1:10" ht="15" customHeight="1" x14ac:dyDescent="0.25">
      <c r="A15" s="44" t="s">
        <v>82</v>
      </c>
      <c r="B15" s="33" t="s">
        <v>170</v>
      </c>
      <c r="C15" s="59">
        <v>4496</v>
      </c>
      <c r="D15" s="59">
        <v>4188</v>
      </c>
      <c r="E15" s="59">
        <v>4308</v>
      </c>
      <c r="F15" s="60">
        <f>F10/365*F5</f>
        <v>4242.6191992465756</v>
      </c>
      <c r="G15" s="60">
        <f>G10/365*G5</f>
        <v>4180.4824623085606</v>
      </c>
      <c r="H15" s="60">
        <f>H10/365*H5</f>
        <v>4165.2154775993004</v>
      </c>
      <c r="I15" s="60">
        <f>I10/365*I5</f>
        <v>4201.7840315831472</v>
      </c>
      <c r="J15" s="60">
        <f>J10/365*J5</f>
        <v>4250.5798839222916</v>
      </c>
    </row>
    <row r="16" spans="1:10" ht="15" customHeight="1" x14ac:dyDescent="0.25">
      <c r="A16" s="44" t="s">
        <v>171</v>
      </c>
      <c r="C16" s="60">
        <f t="shared" ref="C16:J16" si="1">C13+C14-C15</f>
        <v>1230</v>
      </c>
      <c r="D16" s="60">
        <f t="shared" si="1"/>
        <v>1335</v>
      </c>
      <c r="E16" s="60">
        <f t="shared" si="1"/>
        <v>1113</v>
      </c>
      <c r="F16" s="60">
        <f t="shared" si="1"/>
        <v>847.5195111506855</v>
      </c>
      <c r="G16" s="60">
        <f t="shared" si="1"/>
        <v>797.05439269500039</v>
      </c>
      <c r="H16" s="60">
        <f t="shared" si="1"/>
        <v>765.28360928140319</v>
      </c>
      <c r="I16" s="60">
        <f t="shared" si="1"/>
        <v>733.88382749679749</v>
      </c>
      <c r="J16" s="60">
        <f t="shared" si="1"/>
        <v>707.00685895694187</v>
      </c>
    </row>
    <row r="17" spans="1:10" ht="15" customHeight="1" x14ac:dyDescent="0.25">
      <c r="A17" s="36" t="s">
        <v>172</v>
      </c>
      <c r="C17" s="37"/>
      <c r="D17" s="61">
        <f t="shared" ref="D17:J17" si="2">D16-C16</f>
        <v>105</v>
      </c>
      <c r="E17" s="61">
        <f t="shared" si="2"/>
        <v>-222</v>
      </c>
      <c r="F17" s="61">
        <f t="shared" si="2"/>
        <v>-265.4804888493145</v>
      </c>
      <c r="G17" s="61">
        <f t="shared" si="2"/>
        <v>-50.465118455685115</v>
      </c>
      <c r="H17" s="61">
        <f t="shared" si="2"/>
        <v>-31.770783413597201</v>
      </c>
      <c r="I17" s="61">
        <f t="shared" si="2"/>
        <v>-31.399781784605693</v>
      </c>
      <c r="J17" s="61">
        <f t="shared" si="2"/>
        <v>-26.876968539855625</v>
      </c>
    </row>
  </sheetData>
  <mergeCells count="4">
    <mergeCell ref="A1:J1"/>
    <mergeCell ref="A7:J7"/>
    <mergeCell ref="A12:J12"/>
    <mergeCell ref="A2:J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"/>
  <sheetViews>
    <sheetView tabSelected="1" zoomScaleNormal="100" workbookViewId="0">
      <selection activeCell="S19" sqref="S19"/>
    </sheetView>
  </sheetViews>
  <sheetFormatPr baseColWidth="10" defaultColWidth="11.42578125" defaultRowHeight="15" x14ac:dyDescent="0.25"/>
  <cols>
    <col min="1" max="1" width="11.42578125" style="1" customWidth="1"/>
    <col min="2" max="2" width="19" style="1" customWidth="1"/>
    <col min="3" max="3" width="11.42578125" style="1" customWidth="1"/>
    <col min="4" max="16384" width="11.42578125" style="1"/>
  </cols>
  <sheetData>
    <row r="1" spans="1:10" ht="15" customHeight="1" x14ac:dyDescent="0.25">
      <c r="A1" s="92" t="s">
        <v>173</v>
      </c>
      <c r="B1" s="90"/>
      <c r="C1" s="90"/>
      <c r="D1" s="90"/>
      <c r="E1" s="90"/>
      <c r="F1" s="90"/>
      <c r="G1" s="90"/>
      <c r="H1" s="90"/>
      <c r="I1" s="90"/>
      <c r="J1" s="87"/>
    </row>
    <row r="2" spans="1:10" ht="15" customHeight="1" x14ac:dyDescent="0.25">
      <c r="C2" s="10" t="s">
        <v>1</v>
      </c>
      <c r="D2" s="10" t="s">
        <v>2</v>
      </c>
      <c r="E2" s="10" t="s">
        <v>3</v>
      </c>
      <c r="F2" s="24" t="s">
        <v>4</v>
      </c>
      <c r="G2" s="24" t="s">
        <v>5</v>
      </c>
      <c r="H2" s="24" t="s">
        <v>6</v>
      </c>
      <c r="I2" s="24" t="s">
        <v>7</v>
      </c>
      <c r="J2" s="24" t="s">
        <v>8</v>
      </c>
    </row>
    <row r="3" spans="1:10" ht="15" customHeight="1" x14ac:dyDescent="0.25">
      <c r="A3" s="55" t="s">
        <v>140</v>
      </c>
      <c r="C3" s="56">
        <f>REVENUE!C12</f>
        <v>26640</v>
      </c>
      <c r="D3" s="56">
        <f>REVENUE!D12</f>
        <v>25846</v>
      </c>
      <c r="E3" s="56">
        <f>REVENUE!E12</f>
        <v>24942</v>
      </c>
      <c r="F3" s="56">
        <f>REVENUE!F12</f>
        <v>24438.665000000001</v>
      </c>
      <c r="G3" s="56">
        <f>REVENUE!G12</f>
        <v>24153.163414999995</v>
      </c>
      <c r="H3" s="56">
        <f>REVENUE!H12</f>
        <v>24247.267134349997</v>
      </c>
      <c r="I3" s="56">
        <f>REVENUE!I12</f>
        <v>24534.493225529495</v>
      </c>
      <c r="J3" s="56">
        <f>REVENUE!J12</f>
        <v>24933.092127467036</v>
      </c>
    </row>
    <row r="5" spans="1:10" ht="15" customHeight="1" x14ac:dyDescent="0.25">
      <c r="A5" s="89" t="s">
        <v>174</v>
      </c>
      <c r="B5" s="90"/>
      <c r="C5" s="90"/>
      <c r="D5" s="90"/>
      <c r="E5" s="90"/>
      <c r="F5" s="90"/>
      <c r="G5" s="90"/>
      <c r="H5" s="90"/>
      <c r="I5" s="90"/>
      <c r="J5" s="87"/>
    </row>
    <row r="6" spans="1:10" ht="15" customHeight="1" x14ac:dyDescent="0.25">
      <c r="A6" s="46" t="s">
        <v>121</v>
      </c>
      <c r="C6" s="47">
        <v>3.8025525525525503E-2</v>
      </c>
      <c r="D6" s="47">
        <v>3.96192834481158E-2</v>
      </c>
      <c r="E6" s="47">
        <v>3.2114505653115202E-2</v>
      </c>
      <c r="F6" s="48">
        <f>INPUTS!F86</f>
        <v>3.3000000000000002E-2</v>
      </c>
      <c r="G6" s="48">
        <f>INPUTS!G86</f>
        <v>3.5000000000000003E-2</v>
      </c>
      <c r="H6" s="48">
        <f>INPUTS!H86</f>
        <v>3.5000000000000003E-2</v>
      </c>
      <c r="I6" s="48">
        <f>INPUTS!I86</f>
        <v>3.5000000000000003E-2</v>
      </c>
      <c r="J6" s="48">
        <f>INPUTS!J86</f>
        <v>3.5000000000000003E-2</v>
      </c>
    </row>
    <row r="7" spans="1:10" ht="15" customHeight="1" x14ac:dyDescent="0.25">
      <c r="A7" s="44" t="s">
        <v>175</v>
      </c>
      <c r="C7" s="52">
        <f t="shared" ref="C7:J7" si="0">-C3*C6</f>
        <v>-1012.9999999999994</v>
      </c>
      <c r="D7" s="52">
        <f t="shared" si="0"/>
        <v>-1024.0000000000009</v>
      </c>
      <c r="E7" s="52">
        <f t="shared" si="0"/>
        <v>-800.99999999999943</v>
      </c>
      <c r="F7" s="52">
        <f t="shared" si="0"/>
        <v>-806.47594500000002</v>
      </c>
      <c r="G7" s="52">
        <f t="shared" si="0"/>
        <v>-845.36071952499992</v>
      </c>
      <c r="H7" s="52">
        <f t="shared" si="0"/>
        <v>-848.65434970224999</v>
      </c>
      <c r="I7" s="52">
        <f t="shared" si="0"/>
        <v>-858.7072628935324</v>
      </c>
      <c r="J7" s="52">
        <f t="shared" si="0"/>
        <v>-872.65822446134632</v>
      </c>
    </row>
    <row r="9" spans="1:10" ht="15" customHeight="1" x14ac:dyDescent="0.25">
      <c r="A9" s="89" t="s">
        <v>176</v>
      </c>
      <c r="B9" s="90"/>
      <c r="C9" s="90"/>
      <c r="D9" s="90"/>
      <c r="E9" s="90"/>
      <c r="F9" s="90"/>
      <c r="G9" s="90"/>
      <c r="H9" s="90"/>
      <c r="I9" s="90"/>
      <c r="J9" s="87"/>
    </row>
    <row r="10" spans="1:10" ht="15" customHeight="1" x14ac:dyDescent="0.25">
      <c r="A10" s="46" t="s">
        <v>122</v>
      </c>
      <c r="C10" s="47">
        <v>3.6073573573573603E-2</v>
      </c>
      <c r="D10" s="47">
        <v>3.6678789754700902E-2</v>
      </c>
      <c r="E10" s="47">
        <v>3.88100392911555E-2</v>
      </c>
      <c r="F10" s="48">
        <f>INPUTS!F75</f>
        <v>0</v>
      </c>
      <c r="G10" s="48">
        <f>INPUTS!G75</f>
        <v>0</v>
      </c>
      <c r="H10" s="48">
        <f>INPUTS!H75</f>
        <v>0</v>
      </c>
      <c r="I10" s="48">
        <f>INPUTS!I75</f>
        <v>0</v>
      </c>
      <c r="J10" s="48">
        <f>INPUTS!J75</f>
        <v>0</v>
      </c>
    </row>
    <row r="11" spans="1:10" ht="15" customHeight="1" x14ac:dyDescent="0.25">
      <c r="A11" s="44" t="s">
        <v>177</v>
      </c>
      <c r="C11" s="16">
        <f t="shared" ref="C11:J11" si="1">C3*C10</f>
        <v>961.0000000000008</v>
      </c>
      <c r="D11" s="16">
        <f t="shared" si="1"/>
        <v>947.99999999999955</v>
      </c>
      <c r="E11" s="16">
        <f t="shared" si="1"/>
        <v>968.00000000000045</v>
      </c>
      <c r="F11" s="16">
        <f t="shared" si="1"/>
        <v>0</v>
      </c>
      <c r="G11" s="16">
        <f t="shared" si="1"/>
        <v>0</v>
      </c>
      <c r="H11" s="16">
        <f t="shared" si="1"/>
        <v>0</v>
      </c>
      <c r="I11" s="16">
        <f t="shared" si="1"/>
        <v>0</v>
      </c>
      <c r="J11" s="16">
        <f t="shared" si="1"/>
        <v>0</v>
      </c>
    </row>
    <row r="13" spans="1:10" ht="15" customHeight="1" x14ac:dyDescent="0.25">
      <c r="A13" s="89" t="s">
        <v>178</v>
      </c>
      <c r="B13" s="90"/>
      <c r="C13" s="90"/>
      <c r="D13" s="90"/>
      <c r="E13" s="90"/>
      <c r="F13" s="90"/>
      <c r="G13" s="90"/>
      <c r="H13" s="90"/>
      <c r="I13" s="90"/>
      <c r="J13" s="87"/>
    </row>
    <row r="14" spans="1:10" ht="15" customHeight="1" x14ac:dyDescent="0.25">
      <c r="A14" s="55" t="s">
        <v>179</v>
      </c>
      <c r="C14" s="37" t="s">
        <v>11</v>
      </c>
      <c r="D14" s="13">
        <v>7400</v>
      </c>
      <c r="E14" s="13">
        <v>7152</v>
      </c>
      <c r="F14" s="62">
        <f>E17</f>
        <v>7318</v>
      </c>
      <c r="G14" s="62">
        <f>F17</f>
        <v>8124.4759450000001</v>
      </c>
      <c r="H14" s="62">
        <f>G17</f>
        <v>8969.8366645250007</v>
      </c>
      <c r="I14" s="62">
        <f>H17</f>
        <v>9818.4910142272511</v>
      </c>
      <c r="J14" s="62">
        <f>I17</f>
        <v>10677.198277120784</v>
      </c>
    </row>
    <row r="15" spans="1:10" ht="15" customHeight="1" x14ac:dyDescent="0.25">
      <c r="A15" s="46" t="s">
        <v>180</v>
      </c>
      <c r="C15" s="37" t="s">
        <v>11</v>
      </c>
      <c r="D15" s="62">
        <f t="shared" ref="D15:J15" si="2">-D7</f>
        <v>1024.0000000000009</v>
      </c>
      <c r="E15" s="62">
        <f t="shared" si="2"/>
        <v>800.99999999999943</v>
      </c>
      <c r="F15" s="62">
        <f t="shared" si="2"/>
        <v>806.47594500000002</v>
      </c>
      <c r="G15" s="62">
        <f t="shared" si="2"/>
        <v>845.36071952499992</v>
      </c>
      <c r="H15" s="62">
        <f t="shared" si="2"/>
        <v>848.65434970224999</v>
      </c>
      <c r="I15" s="62">
        <f t="shared" si="2"/>
        <v>858.7072628935324</v>
      </c>
      <c r="J15" s="62">
        <f t="shared" si="2"/>
        <v>872.65822446134632</v>
      </c>
    </row>
    <row r="16" spans="1:10" ht="15" customHeight="1" x14ac:dyDescent="0.25">
      <c r="A16" s="46" t="s">
        <v>181</v>
      </c>
      <c r="C16" s="37" t="s">
        <v>11</v>
      </c>
      <c r="D16" s="62">
        <f t="shared" ref="D16:J16" si="3">-D11</f>
        <v>-947.99999999999955</v>
      </c>
      <c r="E16" s="62">
        <f t="shared" si="3"/>
        <v>-968.00000000000045</v>
      </c>
      <c r="F16" s="62">
        <f t="shared" si="3"/>
        <v>0</v>
      </c>
      <c r="G16" s="62">
        <f t="shared" si="3"/>
        <v>0</v>
      </c>
      <c r="H16" s="62">
        <f t="shared" si="3"/>
        <v>0</v>
      </c>
      <c r="I16" s="62">
        <f t="shared" si="3"/>
        <v>0</v>
      </c>
      <c r="J16" s="62">
        <f t="shared" si="3"/>
        <v>0</v>
      </c>
    </row>
    <row r="17" spans="1:10" ht="15" customHeight="1" x14ac:dyDescent="0.25">
      <c r="A17" s="44" t="s">
        <v>182</v>
      </c>
      <c r="C17" s="59">
        <v>7400</v>
      </c>
      <c r="D17" s="59">
        <v>7152</v>
      </c>
      <c r="E17" s="59">
        <v>7318</v>
      </c>
      <c r="F17" s="60">
        <f>F14+F15+F16</f>
        <v>8124.4759450000001</v>
      </c>
      <c r="G17" s="60">
        <f>G14+G15+G16</f>
        <v>8969.8366645250007</v>
      </c>
      <c r="H17" s="60">
        <f>H14+H15+H16</f>
        <v>9818.4910142272511</v>
      </c>
      <c r="I17" s="60">
        <f>I14+I15+I16</f>
        <v>10677.198277120784</v>
      </c>
      <c r="J17" s="60">
        <f>J14+J15+J16</f>
        <v>11549.85650158213</v>
      </c>
    </row>
  </sheetData>
  <mergeCells count="4">
    <mergeCell ref="A1:J1"/>
    <mergeCell ref="A9:J9"/>
    <mergeCell ref="A13:J13"/>
    <mergeCell ref="A5:J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zoomScaleNormal="100" workbookViewId="0">
      <selection activeCell="G30" sqref="G30"/>
    </sheetView>
  </sheetViews>
  <sheetFormatPr baseColWidth="10" defaultColWidth="10.5703125" defaultRowHeight="15" x14ac:dyDescent="0.25"/>
  <cols>
    <col min="1" max="1" width="10.5703125" style="1"/>
    <col min="2" max="2" width="15.140625" style="1" customWidth="1"/>
    <col min="3" max="16384" width="10.5703125" style="1"/>
  </cols>
  <sheetData>
    <row r="1" spans="1:10" ht="15" customHeight="1" x14ac:dyDescent="0.25">
      <c r="A1" s="92" t="s">
        <v>0</v>
      </c>
      <c r="B1" s="83"/>
      <c r="C1" s="83"/>
      <c r="D1" s="83"/>
      <c r="E1" s="83"/>
      <c r="F1" s="83"/>
      <c r="G1" s="83"/>
      <c r="H1" s="83"/>
      <c r="I1" s="83"/>
      <c r="J1" s="83"/>
    </row>
    <row r="2" spans="1:10" ht="15" customHeight="1" x14ac:dyDescent="0.25">
      <c r="C2" s="10" t="s">
        <v>1</v>
      </c>
      <c r="D2" s="10" t="s">
        <v>2</v>
      </c>
      <c r="E2" s="10" t="s">
        <v>3</v>
      </c>
      <c r="F2" s="24" t="s">
        <v>4</v>
      </c>
      <c r="G2" s="24" t="s">
        <v>5</v>
      </c>
      <c r="H2" s="24" t="s">
        <v>6</v>
      </c>
      <c r="I2" s="24" t="s">
        <v>7</v>
      </c>
      <c r="J2" s="24" t="s">
        <v>8</v>
      </c>
    </row>
    <row r="3" spans="1:10" ht="15" customHeight="1" x14ac:dyDescent="0.25">
      <c r="A3" s="89" t="s">
        <v>9</v>
      </c>
      <c r="B3" s="83"/>
      <c r="C3" s="83"/>
      <c r="D3" s="83"/>
      <c r="E3" s="83"/>
      <c r="F3" s="83"/>
      <c r="G3" s="83"/>
      <c r="H3" s="83"/>
      <c r="I3" s="83"/>
      <c r="J3" s="83"/>
    </row>
    <row r="4" spans="1:10" ht="15" customHeight="1" x14ac:dyDescent="0.25">
      <c r="A4" s="55" t="s">
        <v>10</v>
      </c>
      <c r="C4" s="37" t="s">
        <v>11</v>
      </c>
      <c r="D4" s="13">
        <v>20552</v>
      </c>
      <c r="E4" s="13">
        <v>19869</v>
      </c>
      <c r="F4" s="62">
        <f>E7</f>
        <v>21219</v>
      </c>
      <c r="G4" s="62">
        <f>F7</f>
        <v>20619</v>
      </c>
      <c r="H4" s="62">
        <f>G7</f>
        <v>20019</v>
      </c>
      <c r="I4" s="62">
        <f>H7</f>
        <v>19419</v>
      </c>
      <c r="J4" s="62">
        <f>I7</f>
        <v>18819</v>
      </c>
    </row>
    <row r="5" spans="1:10" ht="15" customHeight="1" x14ac:dyDescent="0.25">
      <c r="A5" s="46" t="s">
        <v>12</v>
      </c>
      <c r="C5" s="13">
        <v>657</v>
      </c>
      <c r="D5" s="13">
        <v>594</v>
      </c>
      <c r="E5" s="13">
        <v>1620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</row>
    <row r="6" spans="1:10" ht="15" customHeight="1" x14ac:dyDescent="0.25">
      <c r="A6" s="46" t="s">
        <v>13</v>
      </c>
      <c r="C6" s="13">
        <v>-848</v>
      </c>
      <c r="D6" s="13">
        <v>-618</v>
      </c>
      <c r="E6" s="13">
        <v>-678</v>
      </c>
      <c r="F6" s="53">
        <f>-INPUTS!F90</f>
        <v>-600</v>
      </c>
      <c r="G6" s="53">
        <f>-INPUTS!G90</f>
        <v>-600</v>
      </c>
      <c r="H6" s="53">
        <f>-INPUTS!H90</f>
        <v>-600</v>
      </c>
      <c r="I6" s="53">
        <f>-INPUTS!I90</f>
        <v>-600</v>
      </c>
      <c r="J6" s="53">
        <f>-INPUTS!J90</f>
        <v>-600</v>
      </c>
    </row>
    <row r="7" spans="1:10" ht="15" customHeight="1" x14ac:dyDescent="0.25">
      <c r="A7" s="44" t="s">
        <v>14</v>
      </c>
      <c r="C7" s="59">
        <v>20552</v>
      </c>
      <c r="D7" s="59">
        <v>19869</v>
      </c>
      <c r="E7" s="59">
        <v>21219</v>
      </c>
      <c r="F7" s="60">
        <f>F4+F5+F6</f>
        <v>20619</v>
      </c>
      <c r="G7" s="60">
        <f>G4+G5+G6</f>
        <v>20019</v>
      </c>
      <c r="H7" s="60">
        <f>H4+H5+H6</f>
        <v>19419</v>
      </c>
      <c r="I7" s="60">
        <f>I4+I5+I6</f>
        <v>18819</v>
      </c>
      <c r="J7" s="60">
        <f>J4+J5+J6</f>
        <v>18219</v>
      </c>
    </row>
    <row r="8" spans="1:10" ht="15" customHeight="1" x14ac:dyDescent="0.25">
      <c r="A8" s="44" t="s">
        <v>15</v>
      </c>
      <c r="C8" s="59">
        <v>912</v>
      </c>
      <c r="D8" s="59">
        <v>912</v>
      </c>
      <c r="E8" s="59">
        <v>947</v>
      </c>
      <c r="F8" s="80">
        <f>((((F4+F7)/2)*INPUTS!F89))</f>
        <v>878.59800000000007</v>
      </c>
      <c r="G8" s="80">
        <f>((((G4+G7)/2)*INPUTS!G89))</f>
        <v>853.39800000000002</v>
      </c>
      <c r="H8" s="80">
        <f>((((H4+H7)/2)*INPUTS!H89))</f>
        <v>828.19800000000009</v>
      </c>
      <c r="I8" s="80">
        <f>((((I4+I7)/2)*INPUTS!I89))</f>
        <v>802.99800000000005</v>
      </c>
      <c r="J8" s="80">
        <f>((((J4+J7)/2)*INPUTS!J89))</f>
        <v>777.798</v>
      </c>
    </row>
    <row r="9" spans="1:10" ht="15" customHeight="1" x14ac:dyDescent="0.25">
      <c r="A9" s="36" t="s">
        <v>16</v>
      </c>
      <c r="C9" s="37" t="s">
        <v>11</v>
      </c>
      <c r="D9" s="38">
        <f t="shared" ref="D9:J9" si="0">IFERROR(D8/((D4+D7)/2),0)</f>
        <v>4.5125058756586921E-2</v>
      </c>
      <c r="E9" s="38">
        <f t="shared" si="0"/>
        <v>4.6096183800623053E-2</v>
      </c>
      <c r="F9" s="38">
        <f t="shared" si="0"/>
        <v>4.2000000000000003E-2</v>
      </c>
      <c r="G9" s="38">
        <f t="shared" si="0"/>
        <v>4.2000000000000003E-2</v>
      </c>
      <c r="H9" s="38">
        <f t="shared" si="0"/>
        <v>4.2000000000000003E-2</v>
      </c>
      <c r="I9" s="38">
        <f t="shared" si="0"/>
        <v>4.2000000000000003E-2</v>
      </c>
      <c r="J9" s="38">
        <f t="shared" si="0"/>
        <v>4.2000000000000003E-2</v>
      </c>
    </row>
  </sheetData>
  <mergeCells count="2">
    <mergeCell ref="A1:J1"/>
    <mergeCell ref="A3:J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"/>
  <sheetViews>
    <sheetView showGridLines="0" zoomScaleNormal="100" workbookViewId="0">
      <selection activeCell="Q18" sqref="Q18"/>
    </sheetView>
  </sheetViews>
  <sheetFormatPr baseColWidth="10" defaultColWidth="8.5703125" defaultRowHeight="15" x14ac:dyDescent="0.25"/>
  <cols>
    <col min="1" max="1" width="42" style="1" customWidth="1"/>
    <col min="2" max="2" width="10" style="1" customWidth="1"/>
    <col min="3" max="10" width="13" style="1" customWidth="1"/>
    <col min="11" max="16384" width="8.5703125" style="1"/>
  </cols>
  <sheetData>
    <row r="1" spans="1:10" ht="21.75" customHeight="1" x14ac:dyDescent="0.25">
      <c r="A1" s="82" t="s">
        <v>183</v>
      </c>
      <c r="B1" s="83"/>
      <c r="C1" s="83"/>
      <c r="D1" s="83"/>
      <c r="E1" s="83"/>
      <c r="F1" s="83"/>
      <c r="G1" s="83"/>
      <c r="H1" s="83"/>
      <c r="I1" s="83"/>
      <c r="J1" s="83"/>
    </row>
    <row r="2" spans="1:10" ht="13.5" customHeight="1" x14ac:dyDescent="0.25">
      <c r="A2" s="84"/>
      <c r="B2" s="83"/>
      <c r="C2" s="83"/>
      <c r="D2" s="83"/>
      <c r="E2" s="83"/>
      <c r="F2" s="83"/>
      <c r="G2" s="83"/>
      <c r="H2" s="83"/>
      <c r="I2" s="83"/>
      <c r="J2" s="83"/>
    </row>
    <row r="3" spans="1:10" ht="15.75" customHeight="1" x14ac:dyDescent="0.25">
      <c r="A3" s="63"/>
      <c r="C3" s="64" t="s">
        <v>1</v>
      </c>
      <c r="D3" s="64" t="s">
        <v>2</v>
      </c>
      <c r="E3" s="64" t="s">
        <v>3</v>
      </c>
      <c r="F3" s="65" t="s">
        <v>4</v>
      </c>
      <c r="G3" s="65" t="s">
        <v>5</v>
      </c>
      <c r="H3" s="65" t="s">
        <v>6</v>
      </c>
      <c r="I3" s="65" t="s">
        <v>7</v>
      </c>
      <c r="J3" s="65" t="s">
        <v>8</v>
      </c>
    </row>
    <row r="4" spans="1:10" ht="15.75" customHeight="1" x14ac:dyDescent="0.25">
      <c r="A4" s="74" t="s">
        <v>184</v>
      </c>
      <c r="C4" s="75">
        <f>REVENUE!C12</f>
        <v>26640</v>
      </c>
      <c r="D4" s="75">
        <f>REVENUE!D12</f>
        <v>25846</v>
      </c>
      <c r="E4" s="75">
        <f>REVENUE!E12</f>
        <v>24942</v>
      </c>
      <c r="F4" s="75">
        <f>REVENUE!F12</f>
        <v>24438.665000000001</v>
      </c>
      <c r="G4" s="75">
        <f>REVENUE!G12</f>
        <v>24153.163414999995</v>
      </c>
      <c r="H4" s="75">
        <f>REVENUE!H12</f>
        <v>24247.267134349997</v>
      </c>
      <c r="I4" s="75">
        <f>REVENUE!I12</f>
        <v>24534.493225529495</v>
      </c>
      <c r="J4" s="75">
        <f>REVENUE!J12</f>
        <v>24933.092127467036</v>
      </c>
    </row>
    <row r="5" spans="1:10" ht="13.5" customHeight="1" x14ac:dyDescent="0.25">
      <c r="A5" s="76" t="s">
        <v>185</v>
      </c>
      <c r="C5" s="53">
        <f>COGS_OPEX!C7</f>
        <v>17714.000000000004</v>
      </c>
      <c r="D5" s="53">
        <f>COGS_OPEX!D7</f>
        <v>16878.000000000007</v>
      </c>
      <c r="E5" s="53">
        <f>COGS_OPEX!E7</f>
        <v>16633.000000000004</v>
      </c>
      <c r="F5" s="53">
        <f>COGS_OPEX!F7</f>
        <v>16300.589555000002</v>
      </c>
      <c r="G5" s="53">
        <f>COGS_OPEX!G7</f>
        <v>16061.853670974997</v>
      </c>
      <c r="H5" s="53">
        <f>COGS_OPEX!H7</f>
        <v>16003.196308670998</v>
      </c>
      <c r="I5" s="53">
        <f>COGS_OPEX!I7</f>
        <v>16143.696542398409</v>
      </c>
      <c r="J5" s="53">
        <f>COGS_OPEX!J7</f>
        <v>16331.17534349091</v>
      </c>
    </row>
    <row r="6" spans="1:10" ht="15.75" customHeight="1" x14ac:dyDescent="0.25">
      <c r="A6" s="74" t="s">
        <v>186</v>
      </c>
      <c r="C6" s="69">
        <f t="shared" ref="C6:J6" si="0">C4-C5</f>
        <v>8925.9999999999964</v>
      </c>
      <c r="D6" s="69">
        <f t="shared" si="0"/>
        <v>8967.9999999999927</v>
      </c>
      <c r="E6" s="69">
        <f t="shared" si="0"/>
        <v>8308.9999999999964</v>
      </c>
      <c r="F6" s="69">
        <f t="shared" si="0"/>
        <v>8138.0754449999986</v>
      </c>
      <c r="G6" s="69">
        <f t="shared" si="0"/>
        <v>8091.3097440249985</v>
      </c>
      <c r="H6" s="69">
        <f t="shared" si="0"/>
        <v>8244.0708256789985</v>
      </c>
      <c r="I6" s="69">
        <f t="shared" si="0"/>
        <v>8390.796683131086</v>
      </c>
      <c r="J6" s="69">
        <f t="shared" si="0"/>
        <v>8601.9167839761267</v>
      </c>
    </row>
    <row r="7" spans="1:10" ht="15" customHeight="1" x14ac:dyDescent="0.25">
      <c r="A7" s="71" t="s">
        <v>146</v>
      </c>
      <c r="C7" s="77">
        <f t="shared" ref="C7:J7" si="1">IFERROR(C6/C4,0)</f>
        <v>0.33506006006005995</v>
      </c>
      <c r="D7" s="77">
        <f t="shared" si="1"/>
        <v>0.34697825582295105</v>
      </c>
      <c r="E7" s="77">
        <f t="shared" si="1"/>
        <v>0.33313286825434996</v>
      </c>
      <c r="F7" s="77">
        <f t="shared" si="1"/>
        <v>0.33299999999999991</v>
      </c>
      <c r="G7" s="77">
        <f t="shared" si="1"/>
        <v>0.33500000000000002</v>
      </c>
      <c r="H7" s="77">
        <f t="shared" si="1"/>
        <v>0.33999999999999997</v>
      </c>
      <c r="I7" s="77">
        <f t="shared" si="1"/>
        <v>0.34199999999999992</v>
      </c>
      <c r="J7" s="77">
        <f t="shared" si="1"/>
        <v>0.34499999999999997</v>
      </c>
    </row>
    <row r="8" spans="1:10" ht="13.5" customHeight="1" x14ac:dyDescent="0.25">
      <c r="A8" s="76" t="s">
        <v>187</v>
      </c>
      <c r="C8" s="53">
        <f>COGS_OPEX!C14</f>
        <v>3692.0000000000109</v>
      </c>
      <c r="D8" s="53">
        <f>COGS_OPEX!D14</f>
        <v>3616.0000000000059</v>
      </c>
      <c r="E8" s="53">
        <f>COGS_OPEX!E14</f>
        <v>3671.9999999999927</v>
      </c>
      <c r="F8" s="53">
        <f>COGS_OPEX!F14</f>
        <v>3592.4837549999997</v>
      </c>
      <c r="G8" s="53">
        <f>COGS_OPEX!G14</f>
        <v>3502.2086951749993</v>
      </c>
      <c r="H8" s="53">
        <f>COGS_OPEX!H14</f>
        <v>3467.3592002120495</v>
      </c>
      <c r="I8" s="53">
        <f>COGS_OPEX!I14</f>
        <v>3483.8980380251878</v>
      </c>
      <c r="J8" s="53">
        <f>COGS_OPEX!J14</f>
        <v>3490.6328978453853</v>
      </c>
    </row>
    <row r="9" spans="1:10" ht="13.5" customHeight="1" x14ac:dyDescent="0.25">
      <c r="A9" s="76" t="s">
        <v>61</v>
      </c>
      <c r="C9" s="53">
        <f>COGS_OPEX!C15</f>
        <v>510</v>
      </c>
      <c r="D9" s="53">
        <f>COGS_OPEX!D15</f>
        <v>1638</v>
      </c>
      <c r="E9" s="53">
        <f>COGS_OPEX!E15</f>
        <v>6734</v>
      </c>
      <c r="F9" s="53">
        <f>COGS_OPEX!F15</f>
        <v>0</v>
      </c>
      <c r="G9" s="53">
        <f>COGS_OPEX!G15</f>
        <v>0</v>
      </c>
      <c r="H9" s="53">
        <f>COGS_OPEX!H15</f>
        <v>0</v>
      </c>
      <c r="I9" s="53">
        <f>COGS_OPEX!I15</f>
        <v>0</v>
      </c>
      <c r="J9" s="53">
        <f>COGS_OPEX!J15</f>
        <v>0</v>
      </c>
    </row>
    <row r="10" spans="1:10" ht="13.5" customHeight="1" x14ac:dyDescent="0.25">
      <c r="A10" s="76" t="s">
        <v>62</v>
      </c>
      <c r="C10" s="53">
        <f>COGS_OPEX!C16</f>
        <v>152</v>
      </c>
      <c r="D10" s="53">
        <f>COGS_OPEX!D16</f>
        <v>2031</v>
      </c>
      <c r="E10" s="53">
        <f>COGS_OPEX!E16</f>
        <v>2572</v>
      </c>
      <c r="F10" s="53">
        <f>COGS_OPEX!F16</f>
        <v>0</v>
      </c>
      <c r="G10" s="53">
        <f>COGS_OPEX!G16</f>
        <v>0</v>
      </c>
      <c r="H10" s="53">
        <f>COGS_OPEX!H16</f>
        <v>0</v>
      </c>
      <c r="I10" s="53">
        <f>COGS_OPEX!I16</f>
        <v>0</v>
      </c>
      <c r="J10" s="53">
        <f>COGS_OPEX!J16</f>
        <v>0</v>
      </c>
    </row>
    <row r="11" spans="1:10" ht="13.5" customHeight="1" x14ac:dyDescent="0.25">
      <c r="A11" s="76" t="s">
        <v>188</v>
      </c>
      <c r="C11" s="68">
        <f t="shared" ref="C11:J11" si="2">C8+C9+C10</f>
        <v>4354.0000000000109</v>
      </c>
      <c r="D11" s="68">
        <f t="shared" si="2"/>
        <v>7285.0000000000055</v>
      </c>
      <c r="E11" s="68">
        <f t="shared" si="2"/>
        <v>12977.999999999993</v>
      </c>
      <c r="F11" s="68">
        <f t="shared" si="2"/>
        <v>3592.4837549999997</v>
      </c>
      <c r="G11" s="68">
        <f t="shared" si="2"/>
        <v>3502.2086951749993</v>
      </c>
      <c r="H11" s="68">
        <f t="shared" si="2"/>
        <v>3467.3592002120495</v>
      </c>
      <c r="I11" s="68">
        <f t="shared" si="2"/>
        <v>3483.8980380251878</v>
      </c>
      <c r="J11" s="68">
        <f t="shared" si="2"/>
        <v>3490.6328978453853</v>
      </c>
    </row>
    <row r="12" spans="1:10" ht="15.75" customHeight="1" x14ac:dyDescent="0.25">
      <c r="A12" s="74" t="s">
        <v>189</v>
      </c>
      <c r="C12" s="69">
        <f t="shared" ref="C12:J12" si="3">C6-C11</f>
        <v>4571.9999999999854</v>
      </c>
      <c r="D12" s="69">
        <f t="shared" si="3"/>
        <v>1682.9999999999873</v>
      </c>
      <c r="E12" s="69">
        <f t="shared" si="3"/>
        <v>-4668.9999999999964</v>
      </c>
      <c r="F12" s="69">
        <f t="shared" si="3"/>
        <v>4545.5916899999993</v>
      </c>
      <c r="G12" s="69">
        <f t="shared" si="3"/>
        <v>4589.1010488499996</v>
      </c>
      <c r="H12" s="69">
        <f t="shared" si="3"/>
        <v>4776.711625466949</v>
      </c>
      <c r="I12" s="69">
        <f t="shared" si="3"/>
        <v>4906.8986451058981</v>
      </c>
      <c r="J12" s="69">
        <f t="shared" si="3"/>
        <v>5111.2838861307409</v>
      </c>
    </row>
    <row r="13" spans="1:10" ht="15" customHeight="1" x14ac:dyDescent="0.25">
      <c r="A13" s="71" t="s">
        <v>155</v>
      </c>
      <c r="C13" s="77">
        <f t="shared" ref="C13:J13" si="4">IFERROR(C12/C4,0)</f>
        <v>0.17162162162162106</v>
      </c>
      <c r="D13" s="77">
        <f t="shared" si="4"/>
        <v>6.5116459026541326E-2</v>
      </c>
      <c r="E13" s="77">
        <f t="shared" si="4"/>
        <v>-0.18719429075455041</v>
      </c>
      <c r="F13" s="77">
        <f t="shared" si="4"/>
        <v>0.18599999999999997</v>
      </c>
      <c r="G13" s="77">
        <f t="shared" si="4"/>
        <v>0.19000000000000003</v>
      </c>
      <c r="H13" s="77">
        <f t="shared" si="4"/>
        <v>0.19699999999999998</v>
      </c>
      <c r="I13" s="77">
        <f t="shared" si="4"/>
        <v>0.19999999999999996</v>
      </c>
      <c r="J13" s="77">
        <f t="shared" si="4"/>
        <v>0.20499999999999993</v>
      </c>
    </row>
    <row r="14" spans="1:10" ht="13.5" customHeight="1" x14ac:dyDescent="0.25">
      <c r="A14" s="76" t="s">
        <v>190</v>
      </c>
      <c r="C14" s="53">
        <f>DEBT!C8</f>
        <v>912</v>
      </c>
      <c r="D14" s="53">
        <f>DEBT!D8</f>
        <v>912</v>
      </c>
      <c r="E14" s="53">
        <f>DEBT!E8</f>
        <v>947</v>
      </c>
      <c r="F14" s="53">
        <f>DEBT!F8</f>
        <v>878.59800000000007</v>
      </c>
      <c r="G14" s="53">
        <f>DEBT!G8</f>
        <v>853.39800000000002</v>
      </c>
      <c r="H14" s="53">
        <f>DEBT!H8</f>
        <v>828.19800000000009</v>
      </c>
      <c r="I14" s="53">
        <f>DEBT!I8</f>
        <v>802.99800000000005</v>
      </c>
      <c r="J14" s="53">
        <f>DEBT!J8</f>
        <v>777.798</v>
      </c>
    </row>
    <row r="15" spans="1:10" ht="13.5" customHeight="1" x14ac:dyDescent="0.25">
      <c r="A15" s="76" t="s">
        <v>191</v>
      </c>
      <c r="C15" s="67">
        <v>27</v>
      </c>
      <c r="D15" s="67">
        <v>-85</v>
      </c>
      <c r="E15" s="67">
        <v>-171</v>
      </c>
      <c r="F15" s="53">
        <f>INPUTS!F94</f>
        <v>-50</v>
      </c>
      <c r="G15" s="53">
        <f>INPUTS!G94</f>
        <v>-50</v>
      </c>
      <c r="H15" s="53">
        <f>INPUTS!H94</f>
        <v>-50</v>
      </c>
      <c r="I15" s="53">
        <f>INPUTS!I94</f>
        <v>-50</v>
      </c>
      <c r="J15" s="53">
        <f>INPUTS!J94</f>
        <v>-50</v>
      </c>
    </row>
    <row r="16" spans="1:10" ht="15.75" customHeight="1" x14ac:dyDescent="0.25">
      <c r="A16" s="74" t="s">
        <v>192</v>
      </c>
      <c r="C16" s="69">
        <f t="shared" ref="C16:J16" si="5">C12-C14-C15</f>
        <v>3632.9999999999854</v>
      </c>
      <c r="D16" s="69">
        <f t="shared" si="5"/>
        <v>855.99999999998727</v>
      </c>
      <c r="E16" s="69">
        <f t="shared" si="5"/>
        <v>-5444.9999999999964</v>
      </c>
      <c r="F16" s="69">
        <f t="shared" si="5"/>
        <v>3716.9936899999993</v>
      </c>
      <c r="G16" s="69">
        <f t="shared" si="5"/>
        <v>3785.7030488499995</v>
      </c>
      <c r="H16" s="69">
        <f t="shared" si="5"/>
        <v>3998.5136254669487</v>
      </c>
      <c r="I16" s="69">
        <f t="shared" si="5"/>
        <v>4153.9006451058976</v>
      </c>
      <c r="J16" s="69">
        <f t="shared" si="5"/>
        <v>4383.4858861307412</v>
      </c>
    </row>
    <row r="17" spans="1:10" ht="13.5" customHeight="1" x14ac:dyDescent="0.25">
      <c r="A17" s="76" t="s">
        <v>193</v>
      </c>
      <c r="C17" s="67">
        <v>787</v>
      </c>
      <c r="D17" s="67">
        <v>-1890</v>
      </c>
      <c r="E17" s="67">
        <v>403</v>
      </c>
      <c r="F17" s="68">
        <f>F16*INPUTS!F80</f>
        <v>780.56867489999979</v>
      </c>
      <c r="G17" s="68">
        <f>G16*INPUTS!G80</f>
        <v>794.99764025849981</v>
      </c>
      <c r="H17" s="68">
        <f>H16*INPUTS!H80</f>
        <v>839.68786134805919</v>
      </c>
      <c r="I17" s="68">
        <f>I16*INPUTS!I80</f>
        <v>872.31913547223849</v>
      </c>
      <c r="J17" s="68">
        <f>J16*INPUTS!J80</f>
        <v>920.53203608745559</v>
      </c>
    </row>
    <row r="18" spans="1:10" ht="15" customHeight="1" x14ac:dyDescent="0.25">
      <c r="A18" s="78" t="s">
        <v>194</v>
      </c>
      <c r="C18" s="77">
        <f t="shared" ref="C18:J18" si="6">IFERROR(C17/C16,0)</f>
        <v>0.21662537847509034</v>
      </c>
      <c r="D18" s="77">
        <f t="shared" si="6"/>
        <v>-2.2079439252336779</v>
      </c>
      <c r="E18" s="77">
        <f t="shared" si="6"/>
        <v>-7.4012855831037699E-2</v>
      </c>
      <c r="F18" s="77">
        <f t="shared" si="6"/>
        <v>0.21</v>
      </c>
      <c r="G18" s="77">
        <f t="shared" si="6"/>
        <v>0.21</v>
      </c>
      <c r="H18" s="77">
        <f t="shared" si="6"/>
        <v>0.21</v>
      </c>
      <c r="I18" s="77">
        <f t="shared" si="6"/>
        <v>0.21</v>
      </c>
      <c r="J18" s="77">
        <f t="shared" si="6"/>
        <v>0.21</v>
      </c>
    </row>
    <row r="19" spans="1:10" ht="15.75" customHeight="1" x14ac:dyDescent="0.25">
      <c r="A19" s="74" t="s">
        <v>195</v>
      </c>
      <c r="C19" s="69">
        <f t="shared" ref="C19:J19" si="7">C16-C17</f>
        <v>2845.9999999999854</v>
      </c>
      <c r="D19" s="69">
        <f t="shared" si="7"/>
        <v>2745.9999999999873</v>
      </c>
      <c r="E19" s="69">
        <f t="shared" si="7"/>
        <v>-5847.9999999999964</v>
      </c>
      <c r="F19" s="69">
        <f t="shared" si="7"/>
        <v>2936.4250150999997</v>
      </c>
      <c r="G19" s="69">
        <f t="shared" si="7"/>
        <v>2990.7054085914997</v>
      </c>
      <c r="H19" s="69">
        <f t="shared" si="7"/>
        <v>3158.8257641188893</v>
      </c>
      <c r="I19" s="69">
        <f t="shared" si="7"/>
        <v>3281.5815096336592</v>
      </c>
      <c r="J19" s="69">
        <f t="shared" si="7"/>
        <v>3462.9538500432855</v>
      </c>
    </row>
    <row r="20" spans="1:10" ht="15" customHeight="1" x14ac:dyDescent="0.25">
      <c r="A20" s="78" t="s">
        <v>196</v>
      </c>
      <c r="C20" s="77">
        <f t="shared" ref="C20:J20" si="8">IFERROR(C19/C4,0)</f>
        <v>0.10683183183183129</v>
      </c>
      <c r="D20" s="77">
        <f t="shared" si="8"/>
        <v>0.10624468002785682</v>
      </c>
      <c r="E20" s="77">
        <f t="shared" si="8"/>
        <v>-0.23446395637879866</v>
      </c>
      <c r="F20" s="77">
        <f t="shared" si="8"/>
        <v>0.12015488632869264</v>
      </c>
      <c r="G20" s="77">
        <f t="shared" si="8"/>
        <v>0.12382251373060982</v>
      </c>
      <c r="H20" s="77">
        <f t="shared" si="8"/>
        <v>0.13027553771797751</v>
      </c>
      <c r="I20" s="77">
        <f t="shared" si="8"/>
        <v>0.13375379224132464</v>
      </c>
      <c r="J20" s="77">
        <f t="shared" si="8"/>
        <v>0.13888986702248585</v>
      </c>
    </row>
    <row r="21" spans="1:10" ht="13.5" customHeight="1" x14ac:dyDescent="0.25">
      <c r="A21" s="76" t="s">
        <v>197</v>
      </c>
      <c r="C21" s="53">
        <f>CAPEX_DA!C11</f>
        <v>961.0000000000008</v>
      </c>
      <c r="D21" s="53">
        <f>CAPEX_DA!D11</f>
        <v>947.99999999999955</v>
      </c>
      <c r="E21" s="53">
        <f>CAPEX_DA!E11</f>
        <v>968.00000000000045</v>
      </c>
      <c r="F21" s="53">
        <f>CAPEX_DA!F11</f>
        <v>0</v>
      </c>
      <c r="G21" s="53">
        <f>CAPEX_DA!G11</f>
        <v>0</v>
      </c>
      <c r="H21" s="53">
        <f>CAPEX_DA!H11</f>
        <v>0</v>
      </c>
      <c r="I21" s="53">
        <f>CAPEX_DA!I11</f>
        <v>0</v>
      </c>
      <c r="J21" s="53">
        <f>CAPEX_DA!J11</f>
        <v>0</v>
      </c>
    </row>
    <row r="22" spans="1:10" ht="15.75" customHeight="1" x14ac:dyDescent="0.25">
      <c r="A22" s="74" t="s">
        <v>198</v>
      </c>
      <c r="C22" s="69">
        <f t="shared" ref="C22:J22" si="9">C12+C21</f>
        <v>5532.9999999999864</v>
      </c>
      <c r="D22" s="69">
        <f t="shared" si="9"/>
        <v>2630.9999999999868</v>
      </c>
      <c r="E22" s="69">
        <f t="shared" si="9"/>
        <v>-3700.9999999999959</v>
      </c>
      <c r="F22" s="69">
        <f t="shared" si="9"/>
        <v>4545.5916899999993</v>
      </c>
      <c r="G22" s="69">
        <f t="shared" si="9"/>
        <v>4589.1010488499996</v>
      </c>
      <c r="H22" s="69">
        <f t="shared" si="9"/>
        <v>4776.711625466949</v>
      </c>
      <c r="I22" s="69">
        <f t="shared" si="9"/>
        <v>4906.8986451058981</v>
      </c>
      <c r="J22" s="69">
        <f t="shared" si="9"/>
        <v>5111.2838861307409</v>
      </c>
    </row>
    <row r="23" spans="1:10" ht="15" customHeight="1" x14ac:dyDescent="0.25">
      <c r="A23" s="78" t="s">
        <v>199</v>
      </c>
      <c r="C23" s="77">
        <f t="shared" ref="C23:J23" si="10">IFERROR(C22/C4,0)</f>
        <v>0.20769519519519469</v>
      </c>
      <c r="D23" s="77">
        <f t="shared" si="10"/>
        <v>0.10179524878124223</v>
      </c>
      <c r="E23" s="77">
        <f t="shared" si="10"/>
        <v>-0.1483842514633949</v>
      </c>
      <c r="F23" s="77">
        <f t="shared" si="10"/>
        <v>0.18599999999999997</v>
      </c>
      <c r="G23" s="77">
        <f t="shared" si="10"/>
        <v>0.19000000000000003</v>
      </c>
      <c r="H23" s="77">
        <f t="shared" si="10"/>
        <v>0.19699999999999998</v>
      </c>
      <c r="I23" s="77">
        <f t="shared" si="10"/>
        <v>0.19999999999999996</v>
      </c>
      <c r="J23" s="77">
        <f t="shared" si="10"/>
        <v>0.20499999999999993</v>
      </c>
    </row>
    <row r="24" spans="1:10" ht="13.5" customHeight="1" x14ac:dyDescent="0.25">
      <c r="A24" s="76" t="s">
        <v>200</v>
      </c>
      <c r="C24" s="79">
        <f>IFERROR(C19/INPUTS!C93,0)</f>
        <v>0</v>
      </c>
      <c r="D24" s="79">
        <f>IFERROR(D19/INPUTS!D93,0)</f>
        <v>0</v>
      </c>
      <c r="E24" s="79">
        <f>IFERROR(E19/INPUTS!E93,0)</f>
        <v>0</v>
      </c>
      <c r="F24" s="79">
        <f>IFERROR(F19/INPUTS!F93,0)</f>
        <v>2.4800886951858105</v>
      </c>
      <c r="G24" s="79">
        <f>IFERROR(G19/INPUTS!G93,0)</f>
        <v>2.5259336221211992</v>
      </c>
      <c r="H24" s="79">
        <f>IFERROR(H19/INPUTS!H93,0)</f>
        <v>2.667927165640954</v>
      </c>
      <c r="I24" s="79">
        <f>IFERROR(I19/INPUTS!I93,0)</f>
        <v>2.7716060047581581</v>
      </c>
      <c r="J24" s="79">
        <f>IFERROR(J19/INPUTS!J93,0)</f>
        <v>2.9247921030770994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1"/>
  <sheetViews>
    <sheetView showGridLines="0" zoomScaleNormal="100" workbookViewId="0">
      <selection activeCell="C34" sqref="C34"/>
    </sheetView>
  </sheetViews>
  <sheetFormatPr baseColWidth="10" defaultColWidth="8.5703125" defaultRowHeight="15" x14ac:dyDescent="0.25"/>
  <cols>
    <col min="1" max="1" width="42" style="1" customWidth="1"/>
    <col min="2" max="2" width="10" style="1" customWidth="1"/>
    <col min="3" max="10" width="13" style="1" customWidth="1"/>
    <col min="11" max="16384" width="8.5703125" style="1"/>
  </cols>
  <sheetData>
    <row r="1" spans="1:10" ht="21.75" customHeight="1" x14ac:dyDescent="0.25">
      <c r="A1" s="82" t="s">
        <v>201</v>
      </c>
      <c r="B1" s="83"/>
      <c r="C1" s="83"/>
      <c r="D1" s="83"/>
      <c r="E1" s="83"/>
      <c r="F1" s="83"/>
      <c r="G1" s="83"/>
      <c r="H1" s="83"/>
      <c r="I1" s="83"/>
      <c r="J1" s="83"/>
    </row>
    <row r="2" spans="1:10" ht="13.5" customHeight="1" x14ac:dyDescent="0.25">
      <c r="A2" s="84"/>
      <c r="B2" s="83"/>
      <c r="C2" s="83"/>
      <c r="D2" s="83"/>
      <c r="E2" s="83"/>
      <c r="F2" s="83"/>
      <c r="G2" s="83"/>
      <c r="H2" s="83"/>
      <c r="I2" s="83"/>
      <c r="J2" s="83"/>
    </row>
    <row r="3" spans="1:10" ht="15.75" customHeight="1" x14ac:dyDescent="0.25">
      <c r="A3" s="63"/>
      <c r="C3" s="64" t="s">
        <v>1</v>
      </c>
      <c r="D3" s="64" t="s">
        <v>2</v>
      </c>
      <c r="E3" s="64" t="s">
        <v>3</v>
      </c>
      <c r="F3" s="65" t="s">
        <v>4</v>
      </c>
      <c r="G3" s="65" t="s">
        <v>5</v>
      </c>
      <c r="H3" s="65" t="s">
        <v>6</v>
      </c>
      <c r="I3" s="65" t="s">
        <v>7</v>
      </c>
      <c r="J3" s="65" t="s">
        <v>8</v>
      </c>
    </row>
    <row r="4" spans="1:10" ht="15.75" customHeight="1" x14ac:dyDescent="0.25">
      <c r="A4" s="85" t="s">
        <v>202</v>
      </c>
      <c r="B4" s="83"/>
      <c r="C4" s="83"/>
      <c r="D4" s="83"/>
      <c r="E4" s="83"/>
      <c r="F4" s="83"/>
      <c r="G4" s="83"/>
      <c r="H4" s="83"/>
      <c r="I4" s="83"/>
      <c r="J4" s="83"/>
    </row>
    <row r="5" spans="1:10" ht="15" customHeight="1" x14ac:dyDescent="0.25">
      <c r="A5" s="66" t="s">
        <v>71</v>
      </c>
      <c r="C5" s="67">
        <v>1400</v>
      </c>
      <c r="D5" s="67">
        <v>1334</v>
      </c>
      <c r="E5" s="67">
        <v>2615</v>
      </c>
      <c r="F5" s="53">
        <f>CF!F28</f>
        <v>2008.029558949318</v>
      </c>
      <c r="G5" s="53">
        <f>CF!G28</f>
        <v>1709.439366471503</v>
      </c>
      <c r="H5" s="53">
        <f>CF!H28</f>
        <v>1556.9815643017396</v>
      </c>
      <c r="I5" s="53">
        <f>CF!I28</f>
        <v>1516.8555928264718</v>
      </c>
      <c r="J5" s="53">
        <f>CF!J28</f>
        <v>1639.6281869482664</v>
      </c>
    </row>
    <row r="6" spans="1:10" ht="15" customHeight="1" x14ac:dyDescent="0.25">
      <c r="A6" s="66" t="s">
        <v>72</v>
      </c>
      <c r="C6" s="67">
        <v>2112</v>
      </c>
      <c r="D6" s="67">
        <v>2147</v>
      </c>
      <c r="E6" s="67">
        <v>2254</v>
      </c>
      <c r="F6" s="53">
        <f>NWC!F13</f>
        <v>2008.6573972602739</v>
      </c>
      <c r="G6" s="53">
        <f>NWC!G13</f>
        <v>1985.1915135616434</v>
      </c>
      <c r="H6" s="53">
        <f>NWC!H13</f>
        <v>1992.926065836986</v>
      </c>
      <c r="I6" s="53">
        <f>NWC!I13</f>
        <v>2016.5336897695474</v>
      </c>
      <c r="J6" s="53">
        <f>NWC!J13</f>
        <v>2049.2952433534551</v>
      </c>
    </row>
    <row r="7" spans="1:10" ht="15" customHeight="1" x14ac:dyDescent="0.25">
      <c r="A7" s="66" t="s">
        <v>73</v>
      </c>
      <c r="C7" s="67">
        <v>3614</v>
      </c>
      <c r="D7" s="67">
        <v>3376</v>
      </c>
      <c r="E7" s="67">
        <v>3167</v>
      </c>
      <c r="F7" s="53">
        <f>NWC!F14</f>
        <v>3081.481313136987</v>
      </c>
      <c r="G7" s="53">
        <f>NWC!G14</f>
        <v>2992.3453414419173</v>
      </c>
      <c r="H7" s="53">
        <f>NWC!H14</f>
        <v>2937.5730210437173</v>
      </c>
      <c r="I7" s="53">
        <f>NWC!I14</f>
        <v>2919.1341693103973</v>
      </c>
      <c r="J7" s="53">
        <f>NWC!J14</f>
        <v>2908.2914995257784</v>
      </c>
    </row>
    <row r="8" spans="1:10" ht="15" customHeight="1" x14ac:dyDescent="0.25">
      <c r="A8" s="66" t="s">
        <v>74</v>
      </c>
      <c r="C8" s="67">
        <v>1803</v>
      </c>
      <c r="D8" s="67">
        <v>1396</v>
      </c>
      <c r="E8" s="67">
        <v>2091</v>
      </c>
      <c r="F8" s="68">
        <f>E8</f>
        <v>2091</v>
      </c>
      <c r="G8" s="68">
        <f>F8</f>
        <v>2091</v>
      </c>
      <c r="H8" s="68">
        <f>G8</f>
        <v>2091</v>
      </c>
      <c r="I8" s="68">
        <f>H8</f>
        <v>2091</v>
      </c>
      <c r="J8" s="68">
        <f>I8</f>
        <v>2091</v>
      </c>
    </row>
    <row r="9" spans="1:10" ht="15" customHeight="1" x14ac:dyDescent="0.25">
      <c r="A9" s="73" t="s">
        <v>203</v>
      </c>
      <c r="C9" s="72">
        <f t="shared" ref="C9:J9" si="0">C5+C6+C7+C8</f>
        <v>8929</v>
      </c>
      <c r="D9" s="72">
        <f t="shared" si="0"/>
        <v>8253</v>
      </c>
      <c r="E9" s="72">
        <f t="shared" si="0"/>
        <v>10127</v>
      </c>
      <c r="F9" s="72">
        <f t="shared" si="0"/>
        <v>9189.1682693465791</v>
      </c>
      <c r="G9" s="72">
        <f t="shared" si="0"/>
        <v>8777.9762214750626</v>
      </c>
      <c r="H9" s="72">
        <f t="shared" si="0"/>
        <v>8578.4806511824427</v>
      </c>
      <c r="I9" s="72">
        <f t="shared" si="0"/>
        <v>8543.5234519064161</v>
      </c>
      <c r="J9" s="72">
        <f t="shared" si="0"/>
        <v>8688.2149298274999</v>
      </c>
    </row>
    <row r="10" spans="1:10" ht="15" customHeight="1" x14ac:dyDescent="0.25">
      <c r="A10" s="66" t="s">
        <v>76</v>
      </c>
      <c r="C10" s="67">
        <v>7400</v>
      </c>
      <c r="D10" s="67">
        <v>7152</v>
      </c>
      <c r="E10" s="67">
        <v>7318</v>
      </c>
      <c r="F10" s="53">
        <f>CAPEX_DA!F17</f>
        <v>8124.4759450000001</v>
      </c>
      <c r="G10" s="53">
        <f>CAPEX_DA!G17</f>
        <v>8969.8366645250007</v>
      </c>
      <c r="H10" s="53">
        <f>CAPEX_DA!H17</f>
        <v>9818.4910142272511</v>
      </c>
      <c r="I10" s="53">
        <f>CAPEX_DA!I17</f>
        <v>10677.198277120784</v>
      </c>
      <c r="J10" s="53">
        <f>CAPEX_DA!J17</f>
        <v>11549.85650158213</v>
      </c>
    </row>
    <row r="11" spans="1:10" ht="15" customHeight="1" x14ac:dyDescent="0.25">
      <c r="A11" s="66" t="s">
        <v>77</v>
      </c>
      <c r="C11" s="67">
        <v>29989</v>
      </c>
      <c r="D11" s="67">
        <v>28673</v>
      </c>
      <c r="E11" s="67">
        <v>22179</v>
      </c>
      <c r="F11" s="68">
        <f>E11</f>
        <v>22179</v>
      </c>
      <c r="G11" s="68">
        <f>F11</f>
        <v>22179</v>
      </c>
      <c r="H11" s="68">
        <f>G11</f>
        <v>22179</v>
      </c>
      <c r="I11" s="68">
        <f>H11</f>
        <v>22179</v>
      </c>
      <c r="J11" s="68">
        <f>I11</f>
        <v>22179</v>
      </c>
    </row>
    <row r="12" spans="1:10" ht="15" customHeight="1" x14ac:dyDescent="0.25">
      <c r="A12" s="66" t="s">
        <v>78</v>
      </c>
      <c r="C12" s="67">
        <v>37872</v>
      </c>
      <c r="D12" s="67">
        <v>39501</v>
      </c>
      <c r="E12" s="67">
        <v>37529</v>
      </c>
      <c r="F12" s="68">
        <f>E12-800</f>
        <v>36729</v>
      </c>
      <c r="G12" s="68">
        <f>F12-800</f>
        <v>35929</v>
      </c>
      <c r="H12" s="68">
        <f>G12-800</f>
        <v>35129</v>
      </c>
      <c r="I12" s="68">
        <f>H12-800</f>
        <v>34329</v>
      </c>
      <c r="J12" s="68">
        <f>I12-800</f>
        <v>33529</v>
      </c>
    </row>
    <row r="13" spans="1:10" ht="15" customHeight="1" x14ac:dyDescent="0.25">
      <c r="A13" s="66" t="s">
        <v>79</v>
      </c>
      <c r="C13" s="67">
        <v>4800</v>
      </c>
      <c r="D13" s="67">
        <v>4708</v>
      </c>
      <c r="E13" s="67">
        <v>4633</v>
      </c>
      <c r="F13" s="68">
        <f>E13</f>
        <v>4633</v>
      </c>
      <c r="G13" s="68">
        <f>F13</f>
        <v>4633</v>
      </c>
      <c r="H13" s="68">
        <f>G13</f>
        <v>4633</v>
      </c>
      <c r="I13" s="68">
        <f>H13</f>
        <v>4633</v>
      </c>
      <c r="J13" s="68">
        <f>I13</f>
        <v>4633</v>
      </c>
    </row>
    <row r="14" spans="1:10" ht="15" customHeight="1" x14ac:dyDescent="0.25">
      <c r="A14" s="73" t="s">
        <v>80</v>
      </c>
      <c r="C14" s="72">
        <f t="shared" ref="C14:J14" si="1">C9+C10+C11+C12+C13</f>
        <v>88990</v>
      </c>
      <c r="D14" s="72">
        <f t="shared" si="1"/>
        <v>88287</v>
      </c>
      <c r="E14" s="72">
        <f t="shared" si="1"/>
        <v>81786</v>
      </c>
      <c r="F14" s="72">
        <f t="shared" si="1"/>
        <v>80854.644214346583</v>
      </c>
      <c r="G14" s="72">
        <f t="shared" si="1"/>
        <v>80488.812886000058</v>
      </c>
      <c r="H14" s="72">
        <f t="shared" si="1"/>
        <v>80337.971665409685</v>
      </c>
      <c r="I14" s="72">
        <f t="shared" si="1"/>
        <v>80361.721729027195</v>
      </c>
      <c r="J14" s="72">
        <f t="shared" si="1"/>
        <v>80579.071431409626</v>
      </c>
    </row>
    <row r="16" spans="1:10" ht="15.75" customHeight="1" x14ac:dyDescent="0.25">
      <c r="A16" s="85" t="s">
        <v>204</v>
      </c>
      <c r="B16" s="83"/>
      <c r="C16" s="83"/>
      <c r="D16" s="83"/>
      <c r="E16" s="83"/>
      <c r="F16" s="83"/>
      <c r="G16" s="83"/>
      <c r="H16" s="83"/>
      <c r="I16" s="83"/>
      <c r="J16" s="83"/>
    </row>
    <row r="17" spans="1:10" ht="15" customHeight="1" x14ac:dyDescent="0.25">
      <c r="A17" s="66" t="s">
        <v>82</v>
      </c>
      <c r="C17" s="53">
        <f>NWC!C15</f>
        <v>4496</v>
      </c>
      <c r="D17" s="53">
        <f>NWC!D15</f>
        <v>4188</v>
      </c>
      <c r="E17" s="53">
        <f>NWC!E15</f>
        <v>4308</v>
      </c>
      <c r="F17" s="53">
        <f>NWC!F15</f>
        <v>4242.6191992465756</v>
      </c>
      <c r="G17" s="53">
        <f>NWC!G15</f>
        <v>4180.4824623085606</v>
      </c>
      <c r="H17" s="53">
        <f>NWC!H15</f>
        <v>4165.2154775993004</v>
      </c>
      <c r="I17" s="53">
        <f>NWC!I15</f>
        <v>4201.7840315831472</v>
      </c>
      <c r="J17" s="53">
        <f>NWC!J15</f>
        <v>4250.5798839222916</v>
      </c>
    </row>
    <row r="18" spans="1:10" ht="15" customHeight="1" x14ac:dyDescent="0.25">
      <c r="A18" s="66" t="s">
        <v>205</v>
      </c>
      <c r="C18" s="67">
        <v>652</v>
      </c>
      <c r="D18" s="67">
        <v>654</v>
      </c>
      <c r="E18" s="67">
        <v>1908</v>
      </c>
      <c r="F18" s="53">
        <f>INPUTS!F90</f>
        <v>600</v>
      </c>
      <c r="G18" s="53">
        <f>INPUTS!G90</f>
        <v>600</v>
      </c>
      <c r="H18" s="53">
        <f>INPUTS!H90</f>
        <v>600</v>
      </c>
      <c r="I18" s="53">
        <f>INPUTS!I90</f>
        <v>600</v>
      </c>
      <c r="J18" s="53">
        <f>INPUTS!J90</f>
        <v>600</v>
      </c>
    </row>
    <row r="19" spans="1:10" ht="15" customHeight="1" x14ac:dyDescent="0.25">
      <c r="A19" s="66" t="s">
        <v>84</v>
      </c>
      <c r="C19" s="67">
        <v>2554</v>
      </c>
      <c r="D19" s="67">
        <v>2411</v>
      </c>
      <c r="E19" s="67">
        <v>2562</v>
      </c>
      <c r="F19" s="68">
        <f>E19</f>
        <v>2562</v>
      </c>
      <c r="G19" s="68">
        <f>F19</f>
        <v>2562</v>
      </c>
      <c r="H19" s="68">
        <f>G19</f>
        <v>2562</v>
      </c>
      <c r="I19" s="68">
        <f>H19</f>
        <v>2562</v>
      </c>
      <c r="J19" s="68">
        <f>I19</f>
        <v>2562</v>
      </c>
    </row>
    <row r="20" spans="1:10" ht="15" customHeight="1" x14ac:dyDescent="0.25">
      <c r="A20" s="73" t="s">
        <v>206</v>
      </c>
      <c r="C20" s="72">
        <f t="shared" ref="C20:J20" si="2">C17+C18+C19</f>
        <v>7702</v>
      </c>
      <c r="D20" s="72">
        <f t="shared" si="2"/>
        <v>7253</v>
      </c>
      <c r="E20" s="72">
        <f t="shared" si="2"/>
        <v>8778</v>
      </c>
      <c r="F20" s="72">
        <f t="shared" si="2"/>
        <v>7404.6191992465756</v>
      </c>
      <c r="G20" s="72">
        <f t="shared" si="2"/>
        <v>7342.4824623085606</v>
      </c>
      <c r="H20" s="72">
        <f t="shared" si="2"/>
        <v>7327.2154775993004</v>
      </c>
      <c r="I20" s="72">
        <f t="shared" si="2"/>
        <v>7363.7840315831472</v>
      </c>
      <c r="J20" s="72">
        <f t="shared" si="2"/>
        <v>7412.5798839222916</v>
      </c>
    </row>
    <row r="21" spans="1:10" ht="15" customHeight="1" x14ac:dyDescent="0.25">
      <c r="A21" s="66" t="s">
        <v>86</v>
      </c>
      <c r="C21" s="67">
        <v>19900</v>
      </c>
      <c r="D21" s="67">
        <v>19215</v>
      </c>
      <c r="E21" s="67">
        <v>19311</v>
      </c>
      <c r="F21" s="53">
        <f>DEBT!F7-INPUTS!F90</f>
        <v>20019</v>
      </c>
      <c r="G21" s="53">
        <f>DEBT!G7-INPUTS!G90</f>
        <v>19419</v>
      </c>
      <c r="H21" s="53">
        <f>DEBT!H7-INPUTS!H90</f>
        <v>18819</v>
      </c>
      <c r="I21" s="53">
        <f>DEBT!I7-INPUTS!I90</f>
        <v>18219</v>
      </c>
      <c r="J21" s="53">
        <f>DEBT!J7-INPUTS!J90</f>
        <v>17619</v>
      </c>
    </row>
    <row r="22" spans="1:10" ht="15" customHeight="1" x14ac:dyDescent="0.25">
      <c r="A22" s="66" t="s">
        <v>87</v>
      </c>
      <c r="C22" s="67">
        <v>11700</v>
      </c>
      <c r="D22" s="67">
        <v>12494</v>
      </c>
      <c r="E22" s="67">
        <v>11908</v>
      </c>
      <c r="F22" s="68">
        <f>E22</f>
        <v>11908</v>
      </c>
      <c r="G22" s="68">
        <f>F22</f>
        <v>11908</v>
      </c>
      <c r="H22" s="68">
        <f>G22</f>
        <v>11908</v>
      </c>
      <c r="I22" s="68">
        <f>H22</f>
        <v>11908</v>
      </c>
      <c r="J22" s="68">
        <f>I22</f>
        <v>11908</v>
      </c>
    </row>
    <row r="23" spans="1:10" ht="15" customHeight="1" x14ac:dyDescent="0.25">
      <c r="A23" s="73" t="s">
        <v>88</v>
      </c>
      <c r="C23" s="72">
        <f t="shared" ref="C23:J23" si="3">C20+C21+C22</f>
        <v>39302</v>
      </c>
      <c r="D23" s="72">
        <f t="shared" si="3"/>
        <v>38962</v>
      </c>
      <c r="E23" s="72">
        <f t="shared" si="3"/>
        <v>39997</v>
      </c>
      <c r="F23" s="72">
        <f t="shared" si="3"/>
        <v>39331.619199246576</v>
      </c>
      <c r="G23" s="72">
        <f t="shared" si="3"/>
        <v>38669.482462308559</v>
      </c>
      <c r="H23" s="72">
        <f t="shared" si="3"/>
        <v>38054.215477599297</v>
      </c>
      <c r="I23" s="72">
        <f t="shared" si="3"/>
        <v>37490.784031583149</v>
      </c>
      <c r="J23" s="72">
        <f t="shared" si="3"/>
        <v>36939.579883922292</v>
      </c>
    </row>
    <row r="25" spans="1:10" ht="15.75" customHeight="1" x14ac:dyDescent="0.25">
      <c r="A25" s="85" t="s">
        <v>207</v>
      </c>
      <c r="B25" s="83"/>
      <c r="C25" s="83"/>
      <c r="D25" s="83"/>
      <c r="E25" s="83"/>
      <c r="F25" s="83"/>
      <c r="G25" s="83"/>
      <c r="H25" s="83"/>
      <c r="I25" s="83"/>
      <c r="J25" s="83"/>
    </row>
    <row r="26" spans="1:10" ht="15" customHeight="1" x14ac:dyDescent="0.25">
      <c r="A26" s="66" t="s">
        <v>208</v>
      </c>
      <c r="C26" s="67">
        <v>52049</v>
      </c>
      <c r="D26" s="67">
        <v>52147</v>
      </c>
      <c r="E26" s="67">
        <v>51299</v>
      </c>
      <c r="F26" s="68">
        <f>E26</f>
        <v>51299</v>
      </c>
      <c r="G26" s="68">
        <f>F26</f>
        <v>51299</v>
      </c>
      <c r="H26" s="68">
        <f>G26</f>
        <v>51299</v>
      </c>
      <c r="I26" s="68">
        <f>H26</f>
        <v>51299</v>
      </c>
      <c r="J26" s="68">
        <f>I26</f>
        <v>51299</v>
      </c>
    </row>
    <row r="27" spans="1:10" ht="15" customHeight="1" x14ac:dyDescent="0.25">
      <c r="A27" s="66" t="s">
        <v>209</v>
      </c>
      <c r="C27" s="67">
        <v>1367</v>
      </c>
      <c r="D27" s="67">
        <v>2171</v>
      </c>
      <c r="E27" s="67">
        <v>-4629</v>
      </c>
      <c r="F27" s="68">
        <f>E27+PL!F19-INPUTS!F92*INPUTS!F93</f>
        <v>-3586.9749849000004</v>
      </c>
      <c r="G27" s="68">
        <f>F27+PL!G19-INPUTS!G92*INPUTS!G93</f>
        <v>-2490.6695763085008</v>
      </c>
      <c r="H27" s="68">
        <f>G27+PL!H19-INPUTS!H92*INPUTS!H93</f>
        <v>-1226.2438121896116</v>
      </c>
      <c r="I27" s="68">
        <f>H27+PL!I19-INPUTS!I92*INPUTS!I93</f>
        <v>160.93769744404744</v>
      </c>
      <c r="J27" s="68">
        <f>I27+PL!J19-INPUTS!J92*INPUTS!J93</f>
        <v>1729.4915474873328</v>
      </c>
    </row>
    <row r="28" spans="1:10" ht="15" customHeight="1" x14ac:dyDescent="0.25">
      <c r="A28" s="66" t="s">
        <v>210</v>
      </c>
      <c r="C28" s="67">
        <v>-3728</v>
      </c>
      <c r="D28" s="70">
        <f>D14-D23-D26-D27</f>
        <v>-4993</v>
      </c>
      <c r="E28" s="67">
        <v>-4881</v>
      </c>
      <c r="F28" s="68">
        <f>F14-F23-F26-F27</f>
        <v>-6188.9999999999927</v>
      </c>
      <c r="G28" s="68">
        <f>G14-G23-G26-G27</f>
        <v>-6989</v>
      </c>
      <c r="H28" s="68">
        <f>H14-H23-H26-H27</f>
        <v>-7789</v>
      </c>
      <c r="I28" s="68">
        <f>I14-I23-I26-I27</f>
        <v>-8589.0000000000018</v>
      </c>
      <c r="J28" s="68">
        <f>J14-J23-J26-J27</f>
        <v>-9388.9999999999982</v>
      </c>
    </row>
    <row r="29" spans="1:10" ht="15" customHeight="1" x14ac:dyDescent="0.25">
      <c r="A29" s="73" t="s">
        <v>211</v>
      </c>
      <c r="C29" s="72">
        <f t="shared" ref="C29:J29" si="4">C26+C27+C28</f>
        <v>49688</v>
      </c>
      <c r="D29" s="72">
        <f t="shared" si="4"/>
        <v>49325</v>
      </c>
      <c r="E29" s="72">
        <f t="shared" si="4"/>
        <v>41789</v>
      </c>
      <c r="F29" s="72">
        <f t="shared" si="4"/>
        <v>41523.025015100007</v>
      </c>
      <c r="G29" s="72">
        <f t="shared" si="4"/>
        <v>41819.330423691499</v>
      </c>
      <c r="H29" s="72">
        <f t="shared" si="4"/>
        <v>42283.756187810388</v>
      </c>
      <c r="I29" s="72">
        <f t="shared" si="4"/>
        <v>42870.937697444046</v>
      </c>
      <c r="J29" s="72">
        <f t="shared" si="4"/>
        <v>43639.491547487334</v>
      </c>
    </row>
    <row r="30" spans="1:10" ht="15" customHeight="1" x14ac:dyDescent="0.25">
      <c r="A30" s="73" t="s">
        <v>90</v>
      </c>
      <c r="C30" s="72">
        <f t="shared" ref="C30:J30" si="5">C23+C29</f>
        <v>88990</v>
      </c>
      <c r="D30" s="72">
        <f t="shared" si="5"/>
        <v>88287</v>
      </c>
      <c r="E30" s="72">
        <f t="shared" si="5"/>
        <v>81786</v>
      </c>
      <c r="F30" s="72">
        <f t="shared" si="5"/>
        <v>80854.644214346583</v>
      </c>
      <c r="G30" s="72">
        <f t="shared" si="5"/>
        <v>80488.812886000058</v>
      </c>
      <c r="H30" s="72">
        <f t="shared" si="5"/>
        <v>80337.971665409685</v>
      </c>
      <c r="I30" s="72">
        <f t="shared" si="5"/>
        <v>80361.721729027195</v>
      </c>
      <c r="J30" s="72">
        <f t="shared" si="5"/>
        <v>80579.071431409626</v>
      </c>
    </row>
    <row r="31" spans="1:10" ht="15" customHeight="1" x14ac:dyDescent="0.25">
      <c r="A31" s="71" t="s">
        <v>212</v>
      </c>
      <c r="C31" s="81">
        <f>C14-C30</f>
        <v>0</v>
      </c>
      <c r="D31" s="81">
        <f t="shared" ref="D31:J31" si="6">D14-D30</f>
        <v>0</v>
      </c>
      <c r="E31" s="81">
        <f t="shared" si="6"/>
        <v>0</v>
      </c>
      <c r="F31" s="81">
        <f t="shared" si="6"/>
        <v>0</v>
      </c>
      <c r="G31" s="81">
        <f t="shared" si="6"/>
        <v>0</v>
      </c>
      <c r="H31" s="81">
        <f t="shared" si="6"/>
        <v>0</v>
      </c>
      <c r="I31" s="81">
        <f t="shared" si="6"/>
        <v>0</v>
      </c>
      <c r="J31" s="81">
        <f t="shared" si="6"/>
        <v>0</v>
      </c>
    </row>
  </sheetData>
  <mergeCells count="5">
    <mergeCell ref="A1:J1"/>
    <mergeCell ref="A2:J2"/>
    <mergeCell ref="A4:J4"/>
    <mergeCell ref="A16:J16"/>
    <mergeCell ref="A25:J25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8"/>
  <sheetViews>
    <sheetView showGridLines="0" zoomScaleNormal="100" workbookViewId="0">
      <selection activeCell="O29" sqref="O29"/>
    </sheetView>
  </sheetViews>
  <sheetFormatPr baseColWidth="10" defaultColWidth="8.5703125" defaultRowHeight="15" x14ac:dyDescent="0.25"/>
  <cols>
    <col min="1" max="1" width="42" style="1" customWidth="1"/>
    <col min="2" max="2" width="10" style="1" customWidth="1"/>
    <col min="3" max="10" width="13" style="1" customWidth="1"/>
    <col min="11" max="16384" width="8.5703125" style="1"/>
  </cols>
  <sheetData>
    <row r="1" spans="1:10" ht="21.75" customHeight="1" x14ac:dyDescent="0.25">
      <c r="A1" s="82" t="s">
        <v>213</v>
      </c>
      <c r="B1" s="83"/>
      <c r="C1" s="83"/>
      <c r="D1" s="83"/>
      <c r="E1" s="83"/>
      <c r="F1" s="83"/>
      <c r="G1" s="83"/>
      <c r="H1" s="83"/>
      <c r="I1" s="83"/>
      <c r="J1" s="83"/>
    </row>
    <row r="2" spans="1:10" ht="13.5" customHeight="1" x14ac:dyDescent="0.25">
      <c r="A2" s="84"/>
      <c r="B2" s="83"/>
      <c r="C2" s="83"/>
      <c r="D2" s="83"/>
      <c r="E2" s="83"/>
      <c r="F2" s="83"/>
      <c r="G2" s="83"/>
      <c r="H2" s="83"/>
      <c r="I2" s="83"/>
      <c r="J2" s="83"/>
    </row>
    <row r="3" spans="1:10" ht="15.75" customHeight="1" x14ac:dyDescent="0.25">
      <c r="A3" s="63"/>
      <c r="C3" s="64" t="s">
        <v>1</v>
      </c>
      <c r="D3" s="64" t="s">
        <v>2</v>
      </c>
      <c r="E3" s="64" t="s">
        <v>3</v>
      </c>
      <c r="F3" s="65" t="s">
        <v>4</v>
      </c>
      <c r="G3" s="65" t="s">
        <v>5</v>
      </c>
      <c r="H3" s="65" t="s">
        <v>6</v>
      </c>
      <c r="I3" s="65" t="s">
        <v>7</v>
      </c>
      <c r="J3" s="65" t="s">
        <v>8</v>
      </c>
    </row>
    <row r="4" spans="1:10" ht="15.75" customHeight="1" x14ac:dyDescent="0.25">
      <c r="A4" s="85" t="s">
        <v>214</v>
      </c>
      <c r="B4" s="83"/>
      <c r="C4" s="83"/>
      <c r="D4" s="83"/>
      <c r="E4" s="83"/>
      <c r="F4" s="83"/>
      <c r="G4" s="83"/>
      <c r="H4" s="83"/>
      <c r="I4" s="83"/>
      <c r="J4" s="83"/>
    </row>
    <row r="5" spans="1:10" ht="15.75" customHeight="1" x14ac:dyDescent="0.25">
      <c r="A5" s="74" t="s">
        <v>68</v>
      </c>
      <c r="C5" s="75">
        <f>PL!C19</f>
        <v>2845.9999999999854</v>
      </c>
      <c r="D5" s="75">
        <f>PL!D19</f>
        <v>2745.9999999999873</v>
      </c>
      <c r="E5" s="75">
        <f>PL!E19</f>
        <v>-5847.9999999999964</v>
      </c>
      <c r="F5" s="75">
        <f>PL!F19</f>
        <v>2936.4250150999997</v>
      </c>
      <c r="G5" s="75">
        <f>PL!G19</f>
        <v>2990.7054085914997</v>
      </c>
      <c r="H5" s="75">
        <f>PL!H19</f>
        <v>3158.8257641188893</v>
      </c>
      <c r="I5" s="75">
        <f>PL!I19</f>
        <v>3281.5815096336592</v>
      </c>
      <c r="J5" s="75">
        <f>PL!J19</f>
        <v>3462.9538500432855</v>
      </c>
    </row>
    <row r="6" spans="1:10" ht="13.5" customHeight="1" x14ac:dyDescent="0.25">
      <c r="A6" s="76" t="s">
        <v>215</v>
      </c>
      <c r="C6" s="53">
        <f>PL!C21</f>
        <v>961.0000000000008</v>
      </c>
      <c r="D6" s="53">
        <f>PL!D21</f>
        <v>947.99999999999955</v>
      </c>
      <c r="E6" s="53">
        <f>PL!E21</f>
        <v>968.00000000000045</v>
      </c>
      <c r="F6" s="53">
        <f>PL!F21</f>
        <v>0</v>
      </c>
      <c r="G6" s="53">
        <f>PL!G21</f>
        <v>0</v>
      </c>
      <c r="H6" s="53">
        <f>PL!H21</f>
        <v>0</v>
      </c>
      <c r="I6" s="53">
        <f>PL!I21</f>
        <v>0</v>
      </c>
      <c r="J6" s="53">
        <f>PL!J21</f>
        <v>0</v>
      </c>
    </row>
    <row r="7" spans="1:10" ht="13.5" customHeight="1" x14ac:dyDescent="0.25">
      <c r="A7" s="76" t="s">
        <v>216</v>
      </c>
      <c r="C7" s="53">
        <f>COGS_OPEX!C15+COGS_OPEX!C16</f>
        <v>662</v>
      </c>
      <c r="D7" s="53">
        <f>COGS_OPEX!D15+COGS_OPEX!D16</f>
        <v>3669</v>
      </c>
      <c r="E7" s="53">
        <f>COGS_OPEX!E15+COGS_OPEX!E16</f>
        <v>9306</v>
      </c>
      <c r="F7" s="53">
        <f>COGS_OPEX!F15+COGS_OPEX!F16</f>
        <v>0</v>
      </c>
      <c r="G7" s="53">
        <f>COGS_OPEX!G15+COGS_OPEX!G16</f>
        <v>0</v>
      </c>
      <c r="H7" s="53">
        <f>COGS_OPEX!H15+COGS_OPEX!H16</f>
        <v>0</v>
      </c>
      <c r="I7" s="53">
        <f>COGS_OPEX!I15+COGS_OPEX!I16</f>
        <v>0</v>
      </c>
      <c r="J7" s="53">
        <f>COGS_OPEX!J15+COGS_OPEX!J16</f>
        <v>0</v>
      </c>
    </row>
    <row r="8" spans="1:10" ht="13.5" customHeight="1" x14ac:dyDescent="0.25">
      <c r="A8" s="76" t="s">
        <v>217</v>
      </c>
      <c r="C8" s="67">
        <v>-746</v>
      </c>
      <c r="D8" s="67">
        <v>491</v>
      </c>
      <c r="E8" s="67">
        <v>230</v>
      </c>
      <c r="F8" s="53">
        <f>-NWC!F17</f>
        <v>265.4804888493145</v>
      </c>
      <c r="G8" s="53">
        <f>-NWC!G17</f>
        <v>50.465118455685115</v>
      </c>
      <c r="H8" s="53">
        <f>-NWC!H17</f>
        <v>31.770783413597201</v>
      </c>
      <c r="I8" s="53">
        <f>-NWC!I17</f>
        <v>31.399781784605693</v>
      </c>
      <c r="J8" s="53">
        <f>-NWC!J17</f>
        <v>26.876968539855625</v>
      </c>
    </row>
    <row r="9" spans="1:10" ht="13.5" customHeight="1" x14ac:dyDescent="0.25">
      <c r="A9" s="76" t="s">
        <v>218</v>
      </c>
      <c r="C9" s="67">
        <v>363</v>
      </c>
      <c r="D9" s="67">
        <v>-3670</v>
      </c>
      <c r="E9" s="67">
        <v>-194</v>
      </c>
      <c r="F9" s="67">
        <v>0</v>
      </c>
      <c r="G9" s="67">
        <v>0</v>
      </c>
      <c r="H9" s="67">
        <v>0</v>
      </c>
      <c r="I9" s="67">
        <v>0</v>
      </c>
      <c r="J9" s="67">
        <v>0</v>
      </c>
    </row>
    <row r="10" spans="1:10" ht="15.75" customHeight="1" x14ac:dyDescent="0.25">
      <c r="A10" s="74" t="s">
        <v>219</v>
      </c>
      <c r="C10" s="69">
        <f t="shared" ref="C10:J10" si="0">SUM(C5:C9)</f>
        <v>4085.9999999999864</v>
      </c>
      <c r="D10" s="69">
        <f t="shared" si="0"/>
        <v>4183.9999999999873</v>
      </c>
      <c r="E10" s="69">
        <f t="shared" si="0"/>
        <v>4462.0000000000036</v>
      </c>
      <c r="F10" s="69">
        <f t="shared" si="0"/>
        <v>3201.9055039493142</v>
      </c>
      <c r="G10" s="69">
        <f t="shared" si="0"/>
        <v>3041.1705270471848</v>
      </c>
      <c r="H10" s="69">
        <f t="shared" si="0"/>
        <v>3190.5965475324865</v>
      </c>
      <c r="I10" s="69">
        <f t="shared" si="0"/>
        <v>3312.9812914182648</v>
      </c>
      <c r="J10" s="69">
        <f t="shared" si="0"/>
        <v>3489.8308185831411</v>
      </c>
    </row>
    <row r="12" spans="1:10" ht="15.75" customHeight="1" x14ac:dyDescent="0.25">
      <c r="A12" s="85" t="s">
        <v>220</v>
      </c>
      <c r="B12" s="83"/>
      <c r="C12" s="83"/>
      <c r="D12" s="83"/>
      <c r="E12" s="83"/>
      <c r="F12" s="83"/>
      <c r="G12" s="83"/>
      <c r="H12" s="83"/>
      <c r="I12" s="83"/>
      <c r="J12" s="83"/>
    </row>
    <row r="13" spans="1:10" ht="13.5" customHeight="1" x14ac:dyDescent="0.25">
      <c r="A13" s="76" t="s">
        <v>221</v>
      </c>
      <c r="C13" s="53">
        <f>CAPEX_DA!C7</f>
        <v>-1012.9999999999994</v>
      </c>
      <c r="D13" s="53">
        <f>CAPEX_DA!D7</f>
        <v>-1024.0000000000009</v>
      </c>
      <c r="E13" s="53">
        <f>CAPEX_DA!E7</f>
        <v>-800.99999999999943</v>
      </c>
      <c r="F13" s="53">
        <f>CAPEX_DA!F7</f>
        <v>-806.47594500000002</v>
      </c>
      <c r="G13" s="53">
        <f>CAPEX_DA!G7</f>
        <v>-845.36071952499992</v>
      </c>
      <c r="H13" s="53">
        <f>CAPEX_DA!H7</f>
        <v>-848.65434970224999</v>
      </c>
      <c r="I13" s="53">
        <f>CAPEX_DA!I7</f>
        <v>-858.7072628935324</v>
      </c>
      <c r="J13" s="53">
        <f>CAPEX_DA!J7</f>
        <v>-872.65822446134632</v>
      </c>
    </row>
    <row r="14" spans="1:10" ht="13.5" customHeight="1" x14ac:dyDescent="0.25">
      <c r="A14" s="76" t="s">
        <v>222</v>
      </c>
      <c r="C14" s="67">
        <v>97</v>
      </c>
      <c r="D14" s="67">
        <v>133</v>
      </c>
      <c r="E14" s="67">
        <v>-1717</v>
      </c>
      <c r="F14" s="67">
        <v>0</v>
      </c>
      <c r="G14" s="67">
        <v>0</v>
      </c>
      <c r="H14" s="67">
        <v>0</v>
      </c>
      <c r="I14" s="67">
        <v>0</v>
      </c>
      <c r="J14" s="67">
        <v>0</v>
      </c>
    </row>
    <row r="15" spans="1:10" ht="15.75" customHeight="1" x14ac:dyDescent="0.25">
      <c r="A15" s="74" t="s">
        <v>223</v>
      </c>
      <c r="C15" s="69">
        <f t="shared" ref="C15:J15" si="1">C13+C14</f>
        <v>-915.99999999999943</v>
      </c>
      <c r="D15" s="69">
        <f t="shared" si="1"/>
        <v>-891.00000000000091</v>
      </c>
      <c r="E15" s="69">
        <f t="shared" si="1"/>
        <v>-2517.9999999999995</v>
      </c>
      <c r="F15" s="69">
        <f t="shared" si="1"/>
        <v>-806.47594500000002</v>
      </c>
      <c r="G15" s="69">
        <f t="shared" si="1"/>
        <v>-845.36071952499992</v>
      </c>
      <c r="H15" s="69">
        <f t="shared" si="1"/>
        <v>-848.65434970224999</v>
      </c>
      <c r="I15" s="69">
        <f t="shared" si="1"/>
        <v>-858.7072628935324</v>
      </c>
      <c r="J15" s="69">
        <f t="shared" si="1"/>
        <v>-872.65822446134632</v>
      </c>
    </row>
    <row r="17" spans="1:10" ht="15.75" customHeight="1" x14ac:dyDescent="0.25">
      <c r="A17" s="85" t="s">
        <v>224</v>
      </c>
      <c r="B17" s="83"/>
      <c r="C17" s="83"/>
      <c r="D17" s="83"/>
      <c r="E17" s="83"/>
      <c r="F17" s="83"/>
      <c r="G17" s="83"/>
      <c r="H17" s="83"/>
      <c r="I17" s="83"/>
      <c r="J17" s="83"/>
    </row>
    <row r="18" spans="1:10" ht="13.5" customHeight="1" x14ac:dyDescent="0.25">
      <c r="A18" s="76" t="s">
        <v>225</v>
      </c>
      <c r="C18" s="67">
        <v>-848</v>
      </c>
      <c r="D18" s="67">
        <v>-618</v>
      </c>
      <c r="E18" s="67">
        <v>-678</v>
      </c>
      <c r="F18" s="53">
        <f>DEBT!F6</f>
        <v>-600</v>
      </c>
      <c r="G18" s="53">
        <f>DEBT!G6</f>
        <v>-600</v>
      </c>
      <c r="H18" s="53">
        <f>DEBT!H6</f>
        <v>-600</v>
      </c>
      <c r="I18" s="53">
        <f>DEBT!I6</f>
        <v>-600</v>
      </c>
      <c r="J18" s="53">
        <f>DEBT!J6</f>
        <v>-600</v>
      </c>
    </row>
    <row r="19" spans="1:10" ht="13.5" customHeight="1" x14ac:dyDescent="0.25">
      <c r="A19" s="76" t="s">
        <v>226</v>
      </c>
      <c r="C19" s="67">
        <v>657</v>
      </c>
      <c r="D19" s="67">
        <v>594</v>
      </c>
      <c r="E19" s="67">
        <v>1620</v>
      </c>
      <c r="F19" s="53">
        <f>DEBT!F5</f>
        <v>0</v>
      </c>
      <c r="G19" s="53">
        <f>DEBT!G5</f>
        <v>0</v>
      </c>
      <c r="H19" s="53">
        <f>DEBT!H5</f>
        <v>0</v>
      </c>
      <c r="I19" s="53">
        <f>DEBT!I5</f>
        <v>0</v>
      </c>
      <c r="J19" s="53">
        <f>DEBT!J5</f>
        <v>0</v>
      </c>
    </row>
    <row r="20" spans="1:10" ht="13.5" customHeight="1" x14ac:dyDescent="0.25">
      <c r="A20" s="76" t="s">
        <v>227</v>
      </c>
      <c r="C20" s="67">
        <v>-1965</v>
      </c>
      <c r="D20" s="67">
        <v>-1931</v>
      </c>
      <c r="E20" s="67">
        <v>-1898</v>
      </c>
      <c r="F20" s="53">
        <f>-INPUTS!F92*INPUTS!F93</f>
        <v>-1894.4</v>
      </c>
      <c r="G20" s="53">
        <f>-INPUTS!G92*INPUTS!G93</f>
        <v>-1894.4</v>
      </c>
      <c r="H20" s="53">
        <f>-INPUTS!H92*INPUTS!H93</f>
        <v>-1894.4</v>
      </c>
      <c r="I20" s="53">
        <f>-INPUTS!I92*INPUTS!I93</f>
        <v>-1894.4</v>
      </c>
      <c r="J20" s="53">
        <f>-INPUTS!J92*INPUTS!J93</f>
        <v>-1894.4</v>
      </c>
    </row>
    <row r="21" spans="1:10" ht="13.5" customHeight="1" x14ac:dyDescent="0.25">
      <c r="A21" s="76" t="s">
        <v>228</v>
      </c>
      <c r="C21" s="67">
        <v>-455</v>
      </c>
      <c r="D21" s="67">
        <v>-988</v>
      </c>
      <c r="E21" s="67">
        <v>-436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</row>
    <row r="22" spans="1:10" ht="13.5" customHeight="1" x14ac:dyDescent="0.25">
      <c r="A22" s="76" t="s">
        <v>229</v>
      </c>
      <c r="C22" s="67">
        <v>-67</v>
      </c>
      <c r="D22" s="67">
        <v>-65</v>
      </c>
      <c r="E22" s="67">
        <v>141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</row>
    <row r="23" spans="1:10" ht="15.75" customHeight="1" x14ac:dyDescent="0.25">
      <c r="A23" s="74" t="s">
        <v>230</v>
      </c>
      <c r="C23" s="69">
        <f t="shared" ref="C23:J23" si="2">SUM(C18:C22)</f>
        <v>-2678</v>
      </c>
      <c r="D23" s="69">
        <f t="shared" si="2"/>
        <v>-3008</v>
      </c>
      <c r="E23" s="69">
        <f t="shared" si="2"/>
        <v>-1251</v>
      </c>
      <c r="F23" s="69">
        <f t="shared" si="2"/>
        <v>-2494.4</v>
      </c>
      <c r="G23" s="69">
        <f t="shared" si="2"/>
        <v>-2494.4</v>
      </c>
      <c r="H23" s="69">
        <f t="shared" si="2"/>
        <v>-2494.4</v>
      </c>
      <c r="I23" s="69">
        <f t="shared" si="2"/>
        <v>-2494.4</v>
      </c>
      <c r="J23" s="69">
        <f t="shared" si="2"/>
        <v>-2494.4</v>
      </c>
    </row>
    <row r="25" spans="1:10" ht="13.5" customHeight="1" x14ac:dyDescent="0.25">
      <c r="A25" s="76" t="s">
        <v>105</v>
      </c>
      <c r="C25" s="67">
        <v>-19</v>
      </c>
      <c r="D25" s="67">
        <v>-71</v>
      </c>
      <c r="E25" s="67">
        <v>80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</row>
    <row r="26" spans="1:10" ht="15.75" customHeight="1" x14ac:dyDescent="0.25">
      <c r="A26" s="74" t="s">
        <v>231</v>
      </c>
      <c r="C26" s="69">
        <f t="shared" ref="C26:J26" si="3">C10+C15+C23+C25</f>
        <v>472.99999999998681</v>
      </c>
      <c r="D26" s="69">
        <f t="shared" si="3"/>
        <v>213.99999999998636</v>
      </c>
      <c r="E26" s="69">
        <f t="shared" si="3"/>
        <v>773.00000000000409</v>
      </c>
      <c r="F26" s="69">
        <f t="shared" si="3"/>
        <v>-98.970441050686077</v>
      </c>
      <c r="G26" s="69">
        <f t="shared" si="3"/>
        <v>-298.59019247781498</v>
      </c>
      <c r="H26" s="69">
        <f t="shared" si="3"/>
        <v>-152.45780216976345</v>
      </c>
      <c r="I26" s="69">
        <f t="shared" si="3"/>
        <v>-40.125971475267761</v>
      </c>
      <c r="J26" s="69">
        <f t="shared" si="3"/>
        <v>122.77259412179455</v>
      </c>
    </row>
    <row r="27" spans="1:10" ht="13.5" customHeight="1" x14ac:dyDescent="0.25">
      <c r="A27" s="76" t="s">
        <v>232</v>
      </c>
      <c r="C27" s="67">
        <v>1041</v>
      </c>
      <c r="D27" s="67">
        <v>1400</v>
      </c>
      <c r="E27" s="67">
        <v>1334</v>
      </c>
      <c r="F27" s="68">
        <f>E28</f>
        <v>2107.0000000000041</v>
      </c>
      <c r="G27" s="68">
        <f>F28</f>
        <v>2008.029558949318</v>
      </c>
      <c r="H27" s="68">
        <f>G28</f>
        <v>1709.439366471503</v>
      </c>
      <c r="I27" s="68">
        <f>H28</f>
        <v>1556.9815643017396</v>
      </c>
      <c r="J27" s="68">
        <f>I28</f>
        <v>1516.8555928264718</v>
      </c>
    </row>
    <row r="28" spans="1:10" ht="15.75" customHeight="1" x14ac:dyDescent="0.25">
      <c r="A28" s="74" t="s">
        <v>233</v>
      </c>
      <c r="C28" s="69">
        <f t="shared" ref="C28:J28" si="4">C27+C26</f>
        <v>1513.9999999999868</v>
      </c>
      <c r="D28" s="69">
        <f t="shared" si="4"/>
        <v>1613.9999999999864</v>
      </c>
      <c r="E28" s="69">
        <f t="shared" si="4"/>
        <v>2107.0000000000041</v>
      </c>
      <c r="F28" s="69">
        <f t="shared" si="4"/>
        <v>2008.029558949318</v>
      </c>
      <c r="G28" s="69">
        <f t="shared" si="4"/>
        <v>1709.439366471503</v>
      </c>
      <c r="H28" s="69">
        <f t="shared" si="4"/>
        <v>1556.9815643017396</v>
      </c>
      <c r="I28" s="69">
        <f t="shared" si="4"/>
        <v>1516.8555928264718</v>
      </c>
      <c r="J28" s="69">
        <f t="shared" si="4"/>
        <v>1639.6281869482664</v>
      </c>
    </row>
  </sheetData>
  <mergeCells count="5">
    <mergeCell ref="A1:J1"/>
    <mergeCell ref="A17:J17"/>
    <mergeCell ref="A12:J12"/>
    <mergeCell ref="A4:J4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COVER</vt:lpstr>
      <vt:lpstr>INPUTS</vt:lpstr>
      <vt:lpstr>REVENUE</vt:lpstr>
      <vt:lpstr>COGS_OPEX</vt:lpstr>
      <vt:lpstr>NWC</vt:lpstr>
      <vt:lpstr>CAPEX_DA</vt:lpstr>
      <vt:lpstr>DEBT</vt:lpstr>
      <vt:lpstr>PL</vt:lpstr>
      <vt:lpstr>BS</vt:lpstr>
      <vt:lpstr>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dalmasso</dc:creator>
  <cp:lastModifiedBy>gonzalo dalmasso</cp:lastModifiedBy>
  <cp:revision>0</cp:revision>
  <dcterms:created xsi:type="dcterms:W3CDTF">2026-05-18T12:48:07Z</dcterms:created>
  <dcterms:modified xsi:type="dcterms:W3CDTF">2026-05-19T00:49:44Z</dcterms:modified>
  <dc:language>en-US</dc:language>
</cp:coreProperties>
</file>